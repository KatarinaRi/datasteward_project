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269713\GitHub\datasteward_project\assignment\"/>
    </mc:Choice>
  </mc:AlternateContent>
  <xr:revisionPtr revIDLastSave="0" documentId="13_ncr:1_{EFCF5AB7-7588-4DFB-8274-DDEF409214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vot-table" sheetId="3" r:id="rId1"/>
    <sheet name="subset-2025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<sst xmlns="http://schemas.openxmlformats.org/spreadsheetml/2006/main" count="927" uniqueCount="496">
  <si>
    <t>Date</t>
  </si>
  <si>
    <t>Year</t>
  </si>
  <si>
    <t>Type</t>
  </si>
  <si>
    <t>Country</t>
  </si>
  <si>
    <t>State</t>
  </si>
  <si>
    <t>Location</t>
  </si>
  <si>
    <t>Activity</t>
  </si>
  <si>
    <t>Name</t>
  </si>
  <si>
    <t>Sex</t>
  </si>
  <si>
    <t>Age</t>
  </si>
  <si>
    <t>Injury</t>
  </si>
  <si>
    <t>Fatal Y/N</t>
  </si>
  <si>
    <t>Time</t>
  </si>
  <si>
    <t xml:space="preserve">Species </t>
  </si>
  <si>
    <t>Source</t>
  </si>
  <si>
    <t>pdf</t>
  </si>
  <si>
    <t>href formula</t>
  </si>
  <si>
    <t>href</t>
  </si>
  <si>
    <t>Case Number</t>
  </si>
  <si>
    <t>Case Number.1</t>
  </si>
  <si>
    <t>original order</t>
  </si>
  <si>
    <t>Unnamed: 21</t>
  </si>
  <si>
    <t>Unnamed: 22</t>
  </si>
  <si>
    <t>21st December</t>
  </si>
  <si>
    <t>Unprovoked</t>
  </si>
  <si>
    <t>USA</t>
  </si>
  <si>
    <t>California</t>
  </si>
  <si>
    <t>Lovers Point Pacific Grove</t>
  </si>
  <si>
    <t>Swimming</t>
  </si>
  <si>
    <t>Erica Fox</t>
  </si>
  <si>
    <t>F</t>
  </si>
  <si>
    <t>55</t>
  </si>
  <si>
    <t>Taken by shark body recovered with multiple injuries</t>
  </si>
  <si>
    <t>Y</t>
  </si>
  <si>
    <t>1200hrs</t>
  </si>
  <si>
    <t>Great White Shark</t>
  </si>
  <si>
    <t>Kevin McMurray Tracking sharks.com: Ralph Collier GSAF: James Kingsley: SFGATE:</t>
  </si>
  <si>
    <t>12th December</t>
  </si>
  <si>
    <t>Sonoma County California</t>
  </si>
  <si>
    <t>Salmon Creek</t>
  </si>
  <si>
    <t>Surfing</t>
  </si>
  <si>
    <t>Unknown</t>
  </si>
  <si>
    <t>M</t>
  </si>
  <si>
    <t>?</t>
  </si>
  <si>
    <t>Hand Injury</t>
  </si>
  <si>
    <t>N</t>
  </si>
  <si>
    <t>0800hrs</t>
  </si>
  <si>
    <t>Suspected Great White Shark</t>
  </si>
  <si>
    <t>Kevin McMurray Tracking sharks.com:Andrew Currie: Facebook Sonoma Sheriff's Office:</t>
  </si>
  <si>
    <t>9th December</t>
  </si>
  <si>
    <t>Provoked</t>
  </si>
  <si>
    <t>Hawaii West Coast Big Island</t>
  </si>
  <si>
    <t>Ka'alu"alu Beach</t>
  </si>
  <si>
    <t>Freeing trapped shark</t>
  </si>
  <si>
    <t>Josiah Kaimani Ventura</t>
  </si>
  <si>
    <t>24</t>
  </si>
  <si>
    <t>Bite wounds to thigh</t>
  </si>
  <si>
    <t>1630hrs</t>
  </si>
  <si>
    <t>Black Tip Reef Shark</t>
  </si>
  <si>
    <t>Hawaii News Now:Diver.Net</t>
  </si>
  <si>
    <t xml:space="preserve">27th November </t>
  </si>
  <si>
    <t>AUSTRALIA</t>
  </si>
  <si>
    <t>NSW</t>
  </si>
  <si>
    <t>Crowdy Bay</t>
  </si>
  <si>
    <t>Lukas Schindler</t>
  </si>
  <si>
    <t>26</t>
  </si>
  <si>
    <t>Serious leg injuries</t>
  </si>
  <si>
    <t>0630hrs</t>
  </si>
  <si>
    <t xml:space="preserve">3m Bull shark </t>
  </si>
  <si>
    <t>Media: Todd Smith: Andy Currie: Simon De Marchi: Kevin McMurray Tracking sharks.com</t>
  </si>
  <si>
    <t>Livia Mulheim</t>
  </si>
  <si>
    <t>25</t>
  </si>
  <si>
    <t>Not stated</t>
  </si>
  <si>
    <t>10th November</t>
  </si>
  <si>
    <t>Western Australia</t>
  </si>
  <si>
    <t>Prevelly Beach Magaret River</t>
  </si>
  <si>
    <t>Foil Boarding</t>
  </si>
  <si>
    <t>Andy McDonald</t>
  </si>
  <si>
    <t>61</t>
  </si>
  <si>
    <t>No Injury to self</t>
  </si>
  <si>
    <t>1745hrs</t>
  </si>
  <si>
    <t>Andy Currie</t>
  </si>
  <si>
    <t>9th November</t>
  </si>
  <si>
    <t>FRENCH POLYNESIA</t>
  </si>
  <si>
    <t>Marquesas Islands</t>
  </si>
  <si>
    <t>Hakahau Bay</t>
  </si>
  <si>
    <t>Not stated (Dentist)</t>
  </si>
  <si>
    <t>40</t>
  </si>
  <si>
    <t>Deep Gash to bicep</t>
  </si>
  <si>
    <t>3m shark</t>
  </si>
  <si>
    <t>Andrew Currie</t>
  </si>
  <si>
    <t>5th November</t>
  </si>
  <si>
    <t>Hawaii</t>
  </si>
  <si>
    <t>Pine Trees Hanalei Bay Kaui</t>
  </si>
  <si>
    <t>Chance Swanson</t>
  </si>
  <si>
    <t>Injuries to legs</t>
  </si>
  <si>
    <t>Mid afternoon</t>
  </si>
  <si>
    <t>James Kingsley: Andy Currie: Beat of Hawaii:</t>
  </si>
  <si>
    <t>Texas</t>
  </si>
  <si>
    <t>Matagorda Beach Matagorda</t>
  </si>
  <si>
    <t>Fishing</t>
  </si>
  <si>
    <t>Chuck Bledsoe</t>
  </si>
  <si>
    <t>Laceration on top and undermeath right foot</t>
  </si>
  <si>
    <t>Not stgated</t>
  </si>
  <si>
    <t>Christofer Eskander: The Bay City Tribune:</t>
  </si>
  <si>
    <t>4th November</t>
  </si>
  <si>
    <t>SAMOA</t>
  </si>
  <si>
    <t>Aga Reef Resort Lalomanu</t>
  </si>
  <si>
    <t>Evan Campbell</t>
  </si>
  <si>
    <t>13</t>
  </si>
  <si>
    <t>Lacerations to right leg</t>
  </si>
  <si>
    <t>1800hrs</t>
  </si>
  <si>
    <t>Suspected Tiger shark</t>
  </si>
  <si>
    <t>Andy Currie: STAB Magazine: Facebook Samoa Observers post:</t>
  </si>
  <si>
    <t>14th October</t>
  </si>
  <si>
    <t>COLUMBIA</t>
  </si>
  <si>
    <t xml:space="preserve"> Bolivar, del Isolate</t>
  </si>
  <si>
    <t>Catagena Province</t>
  </si>
  <si>
    <t>Swimming with sharks</t>
  </si>
  <si>
    <t>Male child</t>
  </si>
  <si>
    <t>14</t>
  </si>
  <si>
    <t>Severe hand injury</t>
  </si>
  <si>
    <t xml:space="preserve">Nurse shark </t>
  </si>
  <si>
    <t>Kevin McMurray Trackingsharks.com Andy Currie</t>
  </si>
  <si>
    <t>11th October</t>
  </si>
  <si>
    <t>Queensland</t>
  </si>
  <si>
    <t>Cook Esplanade Thursday Island</t>
  </si>
  <si>
    <t>Fishing/swimming</t>
  </si>
  <si>
    <t>Samuel Nai</t>
  </si>
  <si>
    <t>Serious abdonminal injuries</t>
  </si>
  <si>
    <t>1823 hrs</t>
  </si>
  <si>
    <t>Tiger or Bull shark</t>
  </si>
  <si>
    <t>Kevin McMurray Trackingsharks.com</t>
  </si>
  <si>
    <t>7th October</t>
  </si>
  <si>
    <t>South Australia</t>
  </si>
  <si>
    <t>Kangaroo Island</t>
  </si>
  <si>
    <t>Lee Berryman</t>
  </si>
  <si>
    <t>50+</t>
  </si>
  <si>
    <t xml:space="preserve">Lacerations to calf </t>
  </si>
  <si>
    <t>1330hrs</t>
  </si>
  <si>
    <t>Bronze whaler?</t>
  </si>
  <si>
    <t>29th September</t>
  </si>
  <si>
    <t>Off California</t>
  </si>
  <si>
    <t>Catalina Island</t>
  </si>
  <si>
    <t>Christopher Murray</t>
  </si>
  <si>
    <t>54</t>
  </si>
  <si>
    <t>Leg and foot injury</t>
  </si>
  <si>
    <t>0100hrs</t>
  </si>
  <si>
    <t>unknown 1.2m shark</t>
  </si>
  <si>
    <t>Todd Smith: Kevin McMurray Trackingsharks.com</t>
  </si>
  <si>
    <t>27th September</t>
  </si>
  <si>
    <t>COSTA RICA</t>
  </si>
  <si>
    <t>Cocos Islands</t>
  </si>
  <si>
    <t>Diving-Tagging sharks</t>
  </si>
  <si>
    <t>Dr. Mauricio Hoyos</t>
  </si>
  <si>
    <t>48</t>
  </si>
  <si>
    <t>Head face and arms</t>
  </si>
  <si>
    <t>Tiger shark 4m</t>
  </si>
  <si>
    <t>6th September</t>
  </si>
  <si>
    <t>Long Reef Sydney</t>
  </si>
  <si>
    <t>Mercury Psillaskis</t>
  </si>
  <si>
    <t>57</t>
  </si>
  <si>
    <t>Both legs and arm severed</t>
  </si>
  <si>
    <t>0930hrs</t>
  </si>
  <si>
    <t>Todd Smith: Andy Currie: Simon De Marchi: Kevin McMurray Trackingsharks.com:</t>
  </si>
  <si>
    <t>1st September</t>
  </si>
  <si>
    <t>Florida</t>
  </si>
  <si>
    <t>Horseshoe reef Key Largo</t>
  </si>
  <si>
    <t>Snorkeling</t>
  </si>
  <si>
    <t>Richard Burrows</t>
  </si>
  <si>
    <t>8</t>
  </si>
  <si>
    <t>Bite to leg</t>
  </si>
  <si>
    <t>1524hrs</t>
  </si>
  <si>
    <t>Todd Smith: US SUN: NY Post: The Guardian: People:</t>
  </si>
  <si>
    <t>30th August</t>
  </si>
  <si>
    <t>Galveston</t>
  </si>
  <si>
    <t>Harper Ochoa</t>
  </si>
  <si>
    <t>Bob Myatt GSAF : People:</t>
  </si>
  <si>
    <t>18th August</t>
  </si>
  <si>
    <t>Cabarita Beach</t>
  </si>
  <si>
    <t>Brad Ross</t>
  </si>
  <si>
    <t>None sustained board severly damaged</t>
  </si>
  <si>
    <t>0730hrs</t>
  </si>
  <si>
    <t>5m (16.5ft) Great White</t>
  </si>
  <si>
    <t>Bob Myatt GSAF The Guardian: 9 News: ABS News: Daily Telegraph:</t>
  </si>
  <si>
    <t>17th August</t>
  </si>
  <si>
    <t>BAHAMAS</t>
  </si>
  <si>
    <t>Atlantic Ocean near Big Grand Cay</t>
  </si>
  <si>
    <t>North of Grand Bahama near Freeport</t>
  </si>
  <si>
    <t>Spearfishing</t>
  </si>
  <si>
    <t>63</t>
  </si>
  <si>
    <t>Severe injuries no detail</t>
  </si>
  <si>
    <t>1300hrs</t>
  </si>
  <si>
    <t>Undetermined</t>
  </si>
  <si>
    <t xml:space="preserve">Ralph Collier GSAF and Kevin MCMurray Trackingsharks.com </t>
  </si>
  <si>
    <t>16th August</t>
  </si>
  <si>
    <t>Cayo Costa Boca Grande</t>
  </si>
  <si>
    <t>Shawn Meuse</t>
  </si>
  <si>
    <t>Laceration to right leg below the knee</t>
  </si>
  <si>
    <t>1055 hrs</t>
  </si>
  <si>
    <t>Lemon shark 1.8 m (6ft)</t>
  </si>
  <si>
    <t>Johannes Marchand: Kevin McMurray Trackingsharks.com</t>
  </si>
  <si>
    <t>7th August</t>
  </si>
  <si>
    <t xml:space="preserve">Tathra Beach </t>
  </si>
  <si>
    <t>Bowie Daley</t>
  </si>
  <si>
    <t>9</t>
  </si>
  <si>
    <t>None sustained board severely damaged</t>
  </si>
  <si>
    <t>Suspected Great White</t>
  </si>
  <si>
    <t>Bob Myatt GSAF</t>
  </si>
  <si>
    <t>1st August</t>
  </si>
  <si>
    <t>PUERTO RICO</t>
  </si>
  <si>
    <t>Carolina</t>
  </si>
  <si>
    <t>Carolina Beach</t>
  </si>
  <si>
    <t>Wading</t>
  </si>
  <si>
    <t>Eleonora Boi</t>
  </si>
  <si>
    <t>39</t>
  </si>
  <si>
    <t>Bite to thigh area</t>
  </si>
  <si>
    <t>Kevin McMurray Trackingsharks.com: NY Post</t>
  </si>
  <si>
    <t>28th July</t>
  </si>
  <si>
    <t>Seacliff beach Adelaide</t>
  </si>
  <si>
    <t xml:space="preserve">Kayaking </t>
  </si>
  <si>
    <t>Nathaniel Drummond</t>
  </si>
  <si>
    <t>19</t>
  </si>
  <si>
    <t>Kayak badly damaged no injury to person</t>
  </si>
  <si>
    <t>1130hrs</t>
  </si>
  <si>
    <t>Great White Shark est 3m (10ft)</t>
  </si>
  <si>
    <t>Bob Myatt GSAF: Simon de Marchi:</t>
  </si>
  <si>
    <t>25th July</t>
  </si>
  <si>
    <t>Nuku Hiva</t>
  </si>
  <si>
    <t>Taiohae Bay</t>
  </si>
  <si>
    <t>7</t>
  </si>
  <si>
    <t>Injuries to right forearm left hand and calf was missing</t>
  </si>
  <si>
    <t>Brandyn Gartelman:Kevin McMurray Trackingsharks.com</t>
  </si>
  <si>
    <t>22nd July</t>
  </si>
  <si>
    <t>SPAIN</t>
  </si>
  <si>
    <t>Majorca</t>
  </si>
  <si>
    <t>Playa de Palma beach</t>
  </si>
  <si>
    <t>Italian women</t>
  </si>
  <si>
    <t xml:space="preserve">F </t>
  </si>
  <si>
    <t>85</t>
  </si>
  <si>
    <t>Gash to leg</t>
  </si>
  <si>
    <t>20th July</t>
  </si>
  <si>
    <t>CANARY ISLANDS</t>
  </si>
  <si>
    <t>Fuerteventura</t>
  </si>
  <si>
    <t>Los Mollinas</t>
  </si>
  <si>
    <t>Surfing (Hydrofoiling)</t>
  </si>
  <si>
    <t>Lacerations to left leg above the knee</t>
  </si>
  <si>
    <t>PM</t>
  </si>
  <si>
    <t>19th July</t>
  </si>
  <si>
    <t>Jupiter Inlet off Jupiter Beach Palm Beach County</t>
  </si>
  <si>
    <t>Diving</t>
  </si>
  <si>
    <t>Jeff Joel</t>
  </si>
  <si>
    <t>69</t>
  </si>
  <si>
    <t xml:space="preserve">Lacerations to right forearm </t>
  </si>
  <si>
    <t>Lemon shark</t>
  </si>
  <si>
    <t>Brandyn Gartelman: Kevin McMurray Trackingsharks.com NBC 6:</t>
  </si>
  <si>
    <t>18th July</t>
  </si>
  <si>
    <t>New Smyrna Beach</t>
  </si>
  <si>
    <t>Sam Hollis</t>
  </si>
  <si>
    <t>18</t>
  </si>
  <si>
    <t>Lacerations to left foot</t>
  </si>
  <si>
    <t>1150hrs</t>
  </si>
  <si>
    <t>Brandyn Gartelman: Kevin McMurray Trackingsharks.com; Fox 35</t>
  </si>
  <si>
    <t>15th July</t>
  </si>
  <si>
    <t>Great Abaco Islands</t>
  </si>
  <si>
    <t>Spanish Cay</t>
  </si>
  <si>
    <t>Michael Reich</t>
  </si>
  <si>
    <t>66</t>
  </si>
  <si>
    <t>Lacerations to right arm</t>
  </si>
  <si>
    <t>5ft (1.5m) Bull shark</t>
  </si>
  <si>
    <t>Kevin McMurray Trackingsharks.com: The Palm Beach Post</t>
  </si>
  <si>
    <t xml:space="preserve">6th July </t>
  </si>
  <si>
    <t>Massachusetts</t>
  </si>
  <si>
    <t>Hoicks Hollow Nantucket Beach</t>
  </si>
  <si>
    <t>Unknown Male</t>
  </si>
  <si>
    <t>21</t>
  </si>
  <si>
    <t>Injury to leg</t>
  </si>
  <si>
    <t>Johannes Marchand: Nantucket Current</t>
  </si>
  <si>
    <t>6th July</t>
  </si>
  <si>
    <t>1500hrs</t>
  </si>
  <si>
    <t>Undetermined small shall shark</t>
  </si>
  <si>
    <t>Todd Smith:Kevin McMurray Trackingsharks.com: Fox 35:</t>
  </si>
  <si>
    <t>4th July</t>
  </si>
  <si>
    <t>SOUTH AFRICA</t>
  </si>
  <si>
    <t>KwaZulu-Natal</t>
  </si>
  <si>
    <t>Mfazazana Hibberdene</t>
  </si>
  <si>
    <t>Unknown male</t>
  </si>
  <si>
    <t>37</t>
  </si>
  <si>
    <t>Mltiple injuries to body</t>
  </si>
  <si>
    <t xml:space="preserve">Undetermined </t>
  </si>
  <si>
    <t>Kevin McMurray Tracking sharks.com: East Coast Radio</t>
  </si>
  <si>
    <t>29th June</t>
  </si>
  <si>
    <t>Norries Headland Cabarita Beach</t>
  </si>
  <si>
    <t>Unknown teenage Male</t>
  </si>
  <si>
    <t>16</t>
  </si>
  <si>
    <t>Serious bites to r bicep r wrist and r leg</t>
  </si>
  <si>
    <t>1600</t>
  </si>
  <si>
    <t>2m Bull shark?</t>
  </si>
  <si>
    <t>Simon De Marchi: Kevin McMurray Trackingsharks.com: 9 News: Daily Mail:</t>
  </si>
  <si>
    <t>25th June</t>
  </si>
  <si>
    <t>Long Island NY</t>
  </si>
  <si>
    <t>Wantagh</t>
  </si>
  <si>
    <t>Unknown Female</t>
  </si>
  <si>
    <t>20</t>
  </si>
  <si>
    <t>Lacerations to lower left foot and leg</t>
  </si>
  <si>
    <t>1615 hrs</t>
  </si>
  <si>
    <t>Sand Tiger shark</t>
  </si>
  <si>
    <t>Scott Curatolo-Wagemann: News 12 Long Island: CNN:</t>
  </si>
  <si>
    <t>22nd June</t>
  </si>
  <si>
    <t>South Carolina</t>
  </si>
  <si>
    <t xml:space="preserve">Coligny Beach Hilton Head Island  </t>
  </si>
  <si>
    <t>Teenage girl</t>
  </si>
  <si>
    <t>Laceration to lower right leg</t>
  </si>
  <si>
    <t>1210hrs</t>
  </si>
  <si>
    <t>Small shark</t>
  </si>
  <si>
    <t>Todd Smith: WJCL22 News: The Island Packet: KVNU:</t>
  </si>
  <si>
    <t>17th June</t>
  </si>
  <si>
    <t xml:space="preserve">Beach Marker 24 Hilton Head Island  </t>
  </si>
  <si>
    <t>Pre-teenage girl</t>
  </si>
  <si>
    <t>12</t>
  </si>
  <si>
    <t xml:space="preserve">Kevin McMurray Trackingsharks.com: </t>
  </si>
  <si>
    <t>Boca Grande</t>
  </si>
  <si>
    <t>Leah Lendel</t>
  </si>
  <si>
    <t>Right hand almost torn off</t>
  </si>
  <si>
    <t>1211 hrs</t>
  </si>
  <si>
    <t>Bull shark</t>
  </si>
  <si>
    <t>Kevin McMurray Trackingsharks.com: James Kingsley: Fox 4 News</t>
  </si>
  <si>
    <t>31st May</t>
  </si>
  <si>
    <t>Montara State Beach</t>
  </si>
  <si>
    <t>Jens Heller</t>
  </si>
  <si>
    <t>42</t>
  </si>
  <si>
    <t xml:space="preserve">No injury </t>
  </si>
  <si>
    <t>1400hrs</t>
  </si>
  <si>
    <t>Great White</t>
  </si>
  <si>
    <t>James Kingsley: The US Sun</t>
  </si>
  <si>
    <t>North Carolina</t>
  </si>
  <si>
    <t>Sunset Beach</t>
  </si>
  <si>
    <t>Sean Barton</t>
  </si>
  <si>
    <t>Gash to lower left leg</t>
  </si>
  <si>
    <t>1100hrs</t>
  </si>
  <si>
    <t>Kevin McMurray Trackingsharks.com: Clay Crewell:Scott Curatolo-Wageman</t>
  </si>
  <si>
    <t>VANUATU</t>
  </si>
  <si>
    <t>South Santo</t>
  </si>
  <si>
    <t>Espiitu Santo Island</t>
  </si>
  <si>
    <t>Tumas</t>
  </si>
  <si>
    <t>Multiple injuries to body one hand and leg bitten off</t>
  </si>
  <si>
    <t>pm</t>
  </si>
  <si>
    <t>Port Noarlunga</t>
  </si>
  <si>
    <t>Richard Vinall</t>
  </si>
  <si>
    <t>Injury to thigh</t>
  </si>
  <si>
    <t>0945hrs</t>
  </si>
  <si>
    <t>Simon DeMarchi: Todd Smith: 9 News:ABC News</t>
  </si>
  <si>
    <t>JAMAICA</t>
  </si>
  <si>
    <t>Montego Bay</t>
  </si>
  <si>
    <t>Rose Hall beach</t>
  </si>
  <si>
    <t>Paddling</t>
  </si>
  <si>
    <t>Rachel Smith</t>
  </si>
  <si>
    <t>minor injuries to fingers of left hand</t>
  </si>
  <si>
    <t>Small shark 1m (3ft) long</t>
  </si>
  <si>
    <t>The sun News: Metro: Kevin McMurray Tracking sharks.com</t>
  </si>
  <si>
    <t>ISRAEL</t>
  </si>
  <si>
    <t>Hadera</t>
  </si>
  <si>
    <t xml:space="preserve">Olga Beach near Hadera Stream </t>
  </si>
  <si>
    <t>Barak Tzach</t>
  </si>
  <si>
    <t>45</t>
  </si>
  <si>
    <t>Remains recovered several days after the attcks</t>
  </si>
  <si>
    <t>Dusky sharks</t>
  </si>
  <si>
    <t>Ynetnews.com: Dailymirroe.co.uk: Todd Smith Alessandro Maddalena: Andrew Currie</t>
  </si>
  <si>
    <t>Questionable</t>
  </si>
  <si>
    <t>MEXICO</t>
  </si>
  <si>
    <t>Quntana Roo</t>
  </si>
  <si>
    <t>Chac Mool Beach Cancun</t>
  </si>
  <si>
    <t xml:space="preserve">Rescuing female companion </t>
  </si>
  <si>
    <t>Alejandro Cortes</t>
  </si>
  <si>
    <t>Victim drown and was scavenged by sharks</t>
  </si>
  <si>
    <t>Not Staed</t>
  </si>
  <si>
    <t>Mundo Now: Reutir" Kevin McMurray Trackingsharks.com</t>
  </si>
  <si>
    <t>unprovoked</t>
  </si>
  <si>
    <t>MALDIVES</t>
  </si>
  <si>
    <t>Kulhudhuffushi City</t>
  </si>
  <si>
    <t>Haa Dhaalu atoll</t>
  </si>
  <si>
    <t>snorkeling</t>
  </si>
  <si>
    <t>30</t>
  </si>
  <si>
    <t>Injuries to right shoulder</t>
  </si>
  <si>
    <t>Todd Smith: The edition: https://en.sun.mv/96031</t>
  </si>
  <si>
    <t>Everglades National Park Flamingo Lodge Highway West Miami-Dade (Monroe County)</t>
  </si>
  <si>
    <t>Undisclosed</t>
  </si>
  <si>
    <t>Injuries to right hand and arm</t>
  </si>
  <si>
    <t>Kevin McMurray Trackingsharks.com: Florida News: www.dailymail.co.uk</t>
  </si>
  <si>
    <t>WA</t>
  </si>
  <si>
    <t>Sandtrax Port Beach North Fremantle Perth</t>
  </si>
  <si>
    <t>30+</t>
  </si>
  <si>
    <t>Bumping to the body</t>
  </si>
  <si>
    <t>1430hrs</t>
  </si>
  <si>
    <t>1.5m Tiger shark</t>
  </si>
  <si>
    <t xml:space="preserve">Kevin McMurray Trackingsharks.com: www.surfer.com </t>
  </si>
  <si>
    <t>Duke of Orleans Bay</t>
  </si>
  <si>
    <t>Steven Jeffrey Payne</t>
  </si>
  <si>
    <t>Missing body not recovered</t>
  </si>
  <si>
    <t>1210 hrs</t>
  </si>
  <si>
    <t>Bob Myatt</t>
  </si>
  <si>
    <t>Gunyah beach Bundeena Port Hacking</t>
  </si>
  <si>
    <t>Mangyong Zhang</t>
  </si>
  <si>
    <t>56</t>
  </si>
  <si>
    <t>Serious lacerations above right knee.</t>
  </si>
  <si>
    <t>1340hrs</t>
  </si>
  <si>
    <t>Victoria</t>
  </si>
  <si>
    <t>Nuns Beach near Portland</t>
  </si>
  <si>
    <t>Robbie Houlihan</t>
  </si>
  <si>
    <t>40+</t>
  </si>
  <si>
    <t>minor lacerations to left calf</t>
  </si>
  <si>
    <t>27-Feb-25</t>
  </si>
  <si>
    <t>PHILIPPINES</t>
  </si>
  <si>
    <t>Batangas Resort</t>
  </si>
  <si>
    <t>Verde Island</t>
  </si>
  <si>
    <t>SCUBA Diving</t>
  </si>
  <si>
    <t>Illia Peregudin</t>
  </si>
  <si>
    <t>29</t>
  </si>
  <si>
    <t>both arms severed by sharks after drowning</t>
  </si>
  <si>
    <t xml:space="preserve">Not stated </t>
  </si>
  <si>
    <t>Stephen Parkhill   Glen Folkard</t>
  </si>
  <si>
    <t>Blasck Wall Reach Swan River Perth</t>
  </si>
  <si>
    <t>Kayaking</t>
  </si>
  <si>
    <t>Georgina Smith</t>
  </si>
  <si>
    <t>None kayak badly damaged by shark</t>
  </si>
  <si>
    <t>0815hrs</t>
  </si>
  <si>
    <t>Off Port Stephens near Newcastle</t>
  </si>
  <si>
    <t>Fishing was pulled of boat by shark</t>
  </si>
  <si>
    <t>Paul Barning</t>
  </si>
  <si>
    <t>Body not recovered</t>
  </si>
  <si>
    <t>Mako shark</t>
  </si>
  <si>
    <t>Simon De Marchi: Bob Myatt GSAF</t>
  </si>
  <si>
    <t>The Wrecks walking track Moreton Island</t>
  </si>
  <si>
    <t>Abdominal and leg injuries</t>
  </si>
  <si>
    <t>1503hrs</t>
  </si>
  <si>
    <t>Bimini Bay</t>
  </si>
  <si>
    <t>Summer Layman</t>
  </si>
  <si>
    <t>Left foot injured</t>
  </si>
  <si>
    <t>1830hrs</t>
  </si>
  <si>
    <t>bull shark</t>
  </si>
  <si>
    <t>Dail Mail Australia Todd Smith: Kevin McMurray Trackingsharks.com</t>
  </si>
  <si>
    <t>Rileigh Decker</t>
  </si>
  <si>
    <t>Severed archilles tendon artery severed nerves severed.</t>
  </si>
  <si>
    <t>TURKS AND CAICOS</t>
  </si>
  <si>
    <t>Near five Cays settlement West Caicos</t>
  </si>
  <si>
    <t>Thompson Cove Beach</t>
  </si>
  <si>
    <t>Canadian tourist</t>
  </si>
  <si>
    <t>both hands bitten off and a bite to left thigh</t>
  </si>
  <si>
    <t>1.8m (6ft) bull shark</t>
  </si>
  <si>
    <t>Todd Smith: Platform X Kevin McMurray  Trackingsharks.com</t>
  </si>
  <si>
    <t>Woorim Beach, Bribie Island,</t>
  </si>
  <si>
    <t>Charlize Zmuda</t>
  </si>
  <si>
    <t>Bites to arm and upper body</t>
  </si>
  <si>
    <t>1645 hrs</t>
  </si>
  <si>
    <t>9 News: The Brisbane Times: The Guardian</t>
  </si>
  <si>
    <t>Shipwreck Cove</t>
  </si>
  <si>
    <t>Bathing</t>
  </si>
  <si>
    <t xml:space="preserve">Boy </t>
  </si>
  <si>
    <t>Minor bite to lower body</t>
  </si>
  <si>
    <t>1711hrs</t>
  </si>
  <si>
    <t xml:space="preserve">Cheynes beach </t>
  </si>
  <si>
    <t>Dale Kittow</t>
  </si>
  <si>
    <t>None - chunk of surfboard  bitten out</t>
  </si>
  <si>
    <t>1600hrs</t>
  </si>
  <si>
    <t>Bronze whaler</t>
  </si>
  <si>
    <t>MOZAMBIQUE</t>
  </si>
  <si>
    <t>Inhambane Province</t>
  </si>
  <si>
    <t>Vilankulo Bay</t>
  </si>
  <si>
    <t>Albert Vilanculo</t>
  </si>
  <si>
    <t xml:space="preserve">Legs, buttocks and stomach </t>
  </si>
  <si>
    <t>Described as a large terrifying animal</t>
  </si>
  <si>
    <t>Off Haleiwa Boat Harbour Oahu</t>
  </si>
  <si>
    <t>Male not stated was a dive tour worker</t>
  </si>
  <si>
    <t>Bitten on the arm</t>
  </si>
  <si>
    <t>NEW CALEDONIA</t>
  </si>
  <si>
    <t>Grande Terre</t>
  </si>
  <si>
    <t>Islet of Kendek near Koumac</t>
  </si>
  <si>
    <t>Robert Cuewapuru</t>
  </si>
  <si>
    <t xml:space="preserve">Severe arm injury and delay in medical treatment caused victim to die </t>
  </si>
  <si>
    <t>1615hr</t>
  </si>
  <si>
    <t>Reportedly Tiger or Bull shark</t>
  </si>
  <si>
    <t xml:space="preserve">Johannes Marchand Todd Smith </t>
  </si>
  <si>
    <t>Granites Beach near Westall Streaky Bay</t>
  </si>
  <si>
    <t>Lance Appleby</t>
  </si>
  <si>
    <t>1710hr</t>
  </si>
  <si>
    <t>Great White Shart estimated 4.8m 16 ft</t>
  </si>
  <si>
    <t>Glen Folkard: Simon De Marchi News.com.au: The News Daily: The National Tribune:</t>
  </si>
  <si>
    <t>South Padre Island</t>
  </si>
  <si>
    <t>Victoria Bazaldua</t>
  </si>
  <si>
    <t>Superficial wounds to leg</t>
  </si>
  <si>
    <t>6 ft shark</t>
  </si>
  <si>
    <t>CNN</t>
  </si>
  <si>
    <t>Popisky řádků</t>
  </si>
  <si>
    <t>Celkový součet</t>
  </si>
  <si>
    <t>Počet z Year</t>
  </si>
  <si>
    <t>Count of incidents in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</si>
</sst>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247650</xdr:colOff>
      <xdr:row>2</xdr:row>
      <xdr:rowOff>73742</xdr:rowOff>
    </xdr:from>
    <xdr:to>
      <xdr:col>9</xdr:col>
      <xdr:colOff>558800</xdr:colOff>
      <xdr:row>16</xdr:row>
      <xdr:rowOff>38099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3CDBDFDB-1681-4C48-8037-5D60752F0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6150" y="442042"/>
          <a:ext cx="4578350" cy="2542457"/>
        </a:xfrm>
        <a:prstGeom prst="rect">
          <a:avLst/>
        </a:prstGeom>
      </xdr:spPr>
    </xdr:pic>
    <xdr:clientData/>
  </xdr:twoCellAnchor>
  <xdr:twoCellAnchor editAs="oneCell">
    <xdr:from>
      <xdr:col>10</xdr:col>
      <xdr:colOff>273050</xdr:colOff>
      <xdr:row>3</xdr:row>
      <xdr:rowOff>35642</xdr:rowOff>
    </xdr:from>
    <xdr:to>
      <xdr:col>13</xdr:col>
      <xdr:colOff>376491</xdr:colOff>
      <xdr:row>13</xdr:row>
      <xdr:rowOff>153502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E2EE40B5-3C9D-4055-8AE9-7B84B180D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18350" y="588092"/>
          <a:ext cx="1932241" cy="1959360"/>
        </a:xfrm>
        <a:prstGeom prst="rect">
          <a:avLst/>
        </a:prstGeom>
      </xdr:spPr>
    </xdr:pic>
    <xdr:clientData/>
  </xdr:twoCellAnchor>
  <xdr:twoCellAnchor>
    <xdr:from>
      <xdr:col>0</xdr:col>
      <xdr:colOff>12700</xdr:colOff>
      <xdr:row>2</xdr:row>
      <xdr:rowOff>12700</xdr:rowOff>
    </xdr:from>
    <xdr:to>
      <xdr:col>2</xdr:col>
      <xdr:colOff>44450</xdr:colOff>
      <xdr:row>7</xdr:row>
      <xdr:rowOff>19050</xdr:rowOff>
    </xdr:to>
    <xdr:sp macro="" textlink="">
      <xdr:nvSpPr>
        <xdr:cNvPr id="4" name="Obdélník 3">
          <a:extLst>
            <a:ext uri="{FF2B5EF4-FFF2-40B4-BE49-F238E27FC236}">
              <a16:creationId xmlns:a16="http://schemas.microsoft.com/office/drawing/2014/main" id="{3DC6AC57-39F5-E6D0-C510-A92F50101A79}"/>
            </a:ext>
          </a:extLst>
        </xdr:cNvPr>
        <xdr:cNvSpPr/>
      </xdr:nvSpPr>
      <xdr:spPr>
        <a:xfrm>
          <a:off x="12700" y="381000"/>
          <a:ext cx="2000250" cy="9271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twoCellAnchor>
    <xdr:from>
      <xdr:col>10</xdr:col>
      <xdr:colOff>215900</xdr:colOff>
      <xdr:row>3</xdr:row>
      <xdr:rowOff>6350</xdr:rowOff>
    </xdr:from>
    <xdr:to>
      <xdr:col>13</xdr:col>
      <xdr:colOff>387350</xdr:colOff>
      <xdr:row>8</xdr:row>
      <xdr:rowOff>12700</xdr:rowOff>
    </xdr:to>
    <xdr:sp macro="" textlink="">
      <xdr:nvSpPr>
        <xdr:cNvPr id="5" name="Obdélník 4">
          <a:extLst>
            <a:ext uri="{FF2B5EF4-FFF2-40B4-BE49-F238E27FC236}">
              <a16:creationId xmlns:a16="http://schemas.microsoft.com/office/drawing/2014/main" id="{41E4E6A2-17F9-470A-812E-E4F40CD7B5E4}"/>
            </a:ext>
          </a:extLst>
        </xdr:cNvPr>
        <xdr:cNvSpPr/>
      </xdr:nvSpPr>
      <xdr:spPr>
        <a:xfrm>
          <a:off x="7061200" y="558800"/>
          <a:ext cx="2000250" cy="9271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arína Řiháčková" refreshedDate="46032.905821296299" createdVersion="8" refreshedVersion="8" minRefreshableVersion="3" recordCount="66" xr:uid="{1C81C3D5-4CDE-4A8C-BF65-07ED5C31A440}">
  <cacheSource type="worksheet">
    <worksheetSource ref="A1:W67" sheet="subset-2025"/>
  </cacheSource>
  <cacheFields count="23">
    <cacheField name="Date" numFmtId="0">
      <sharedItems containsDate="1" containsMixedTypes="1" minDate="2024-07-04T00:00:00" maxDate="2025-06-12T00:00:00"/>
    </cacheField>
    <cacheField name="Year" numFmtId="0">
      <sharedItems containsSemiMixedTypes="0" containsString="0" containsNumber="1" containsInteger="1" minValue="2025" maxValue="2025"/>
    </cacheField>
    <cacheField name="Type" numFmtId="0">
      <sharedItems/>
    </cacheField>
    <cacheField name="Country" numFmtId="0">
      <sharedItems count="20">
        <s v="USA"/>
        <s v="AUSTRALIA"/>
        <s v="FRENCH POLYNESIA"/>
        <s v="SAMOA"/>
        <s v="COLUMBIA"/>
        <s v="COSTA RICA"/>
        <s v="BAHAMAS"/>
        <s v="PUERTO RICO"/>
        <s v="SPAIN"/>
        <s v="CANARY ISLANDS"/>
        <s v="SOUTH AFRICA"/>
        <s v="VANUATU"/>
        <s v="JAMAICA"/>
        <s v="ISRAEL"/>
        <s v="MEXICO"/>
        <s v="MALDIVES"/>
        <s v="PHILIPPINES"/>
        <s v="TURKS AND CAICOS"/>
        <s v="MOZAMBIQUE"/>
        <s v="NEW CALEDONIA"/>
      </sharedItems>
    </cacheField>
    <cacheField name="State" numFmtId="0">
      <sharedItems containsBlank="1"/>
    </cacheField>
    <cacheField name="Location" numFmtId="0">
      <sharedItems/>
    </cacheField>
    <cacheField name="Activity" numFmtId="0">
      <sharedItems/>
    </cacheField>
    <cacheField name="Name" numFmtId="0">
      <sharedItems/>
    </cacheField>
    <cacheField name="Sex" numFmtId="0">
      <sharedItems/>
    </cacheField>
    <cacheField name="Age" numFmtId="0">
      <sharedItems containsMixedTypes="1" containsNumber="1" containsInteger="1" minValue="12" maxValue="58"/>
    </cacheField>
    <cacheField name="Injury" numFmtId="0">
      <sharedItems/>
    </cacheField>
    <cacheField name="Fatal Y/N" numFmtId="0">
      <sharedItems/>
    </cacheField>
    <cacheField name="Time" numFmtId="0">
      <sharedItems/>
    </cacheField>
    <cacheField name="Species " numFmtId="0">
      <sharedItems/>
    </cacheField>
    <cacheField name="Source" numFmtId="0">
      <sharedItems/>
    </cacheField>
    <cacheField name="pdf" numFmtId="0">
      <sharedItems containsNonDate="0" containsString="0" containsBlank="1"/>
    </cacheField>
    <cacheField name="href formula" numFmtId="0">
      <sharedItems containsNonDate="0" containsString="0" containsBlank="1"/>
    </cacheField>
    <cacheField name="href" numFmtId="0">
      <sharedItems containsNonDate="0" containsString="0" containsBlank="1"/>
    </cacheField>
    <cacheField name="Case Number" numFmtId="0">
      <sharedItems containsNonDate="0" containsString="0" containsBlank="1"/>
    </cacheField>
    <cacheField name="Case Number.1" numFmtId="0">
      <sharedItems containsNonDate="0" containsString="0" containsBlank="1"/>
    </cacheField>
    <cacheField name="original order" numFmtId="0">
      <sharedItems containsNonDate="0" containsString="0" containsBlank="1"/>
    </cacheField>
    <cacheField name="Unnamed: 21" numFmtId="0">
      <sharedItems containsNonDate="0" containsString="0" containsBlank="1"/>
    </cacheField>
    <cacheField name="Unnamed: 2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s v="21st December"/>
    <n v="2025"/>
    <s v="Unprovoked"/>
    <x v="0"/>
    <s v="California"/>
    <s v="Lovers Point Pacific Grove"/>
    <s v="Swimming"/>
    <s v="Erica Fox"/>
    <s v="F"/>
    <s v="55"/>
    <s v="Taken by shark body recovered with multiple injuries"/>
    <s v="Y"/>
    <s v="1200hrs"/>
    <s v="Great White Shark"/>
    <s v="Kevin McMurray Tracking sharks.com: Ralph Collier GSAF: James Kingsley: SFGATE:"/>
    <m/>
    <m/>
    <m/>
    <m/>
    <m/>
    <m/>
    <m/>
    <m/>
  </r>
  <r>
    <s v="12th December"/>
    <n v="2025"/>
    <s v="Unprovoked"/>
    <x v="0"/>
    <s v="Sonoma County California"/>
    <s v="Salmon Creek"/>
    <s v="Surfing"/>
    <s v="Unknown"/>
    <s v="M"/>
    <s v="?"/>
    <s v="Hand Injury"/>
    <s v="N"/>
    <s v="0800hrs"/>
    <s v="Suspected Great White Shark"/>
    <s v="Kevin McMurray Tracking sharks.com:Andrew Currie: Facebook Sonoma Sheriff's Office:"/>
    <m/>
    <m/>
    <m/>
    <m/>
    <m/>
    <m/>
    <m/>
    <m/>
  </r>
  <r>
    <s v="9th December"/>
    <n v="2025"/>
    <s v="Provoked"/>
    <x v="0"/>
    <s v="Hawaii West Coast Big Island"/>
    <s v="Ka'alu&quot;alu Beach"/>
    <s v="Freeing trapped shark"/>
    <s v="Josiah Kaimani Ventura"/>
    <s v="M"/>
    <s v="24"/>
    <s v="Bite wounds to thigh"/>
    <s v="N"/>
    <s v="1630hrs"/>
    <s v="Black Tip Reef Shark"/>
    <s v="Hawaii News Now:Diver.Net"/>
    <m/>
    <m/>
    <m/>
    <m/>
    <m/>
    <m/>
    <m/>
    <m/>
  </r>
  <r>
    <s v="27th November "/>
    <n v="2025"/>
    <s v="Unprovoked"/>
    <x v="1"/>
    <s v="NSW"/>
    <s v="Crowdy Bay"/>
    <s v="Swimming"/>
    <s v="Lukas Schindler"/>
    <s v="M"/>
    <s v="26"/>
    <s v="Serious leg injuries"/>
    <s v="N"/>
    <s v="0630hrs"/>
    <s v="3m Bull shark "/>
    <s v="Media: Todd Smith: Andy Currie: Simon De Marchi: Kevin McMurray Tracking sharks.com"/>
    <m/>
    <m/>
    <m/>
    <m/>
    <m/>
    <m/>
    <m/>
    <m/>
  </r>
  <r>
    <s v="27th November "/>
    <n v="2025"/>
    <s v="Unprovoked"/>
    <x v="1"/>
    <s v="NSW"/>
    <s v="Crowdy Bay"/>
    <s v="Swimming"/>
    <s v="Livia Mulheim"/>
    <s v="F"/>
    <s v="25"/>
    <s v="Not stated"/>
    <s v="Y"/>
    <s v="0630hrs"/>
    <s v="3m Bull shark "/>
    <s v="Media: Todd Smith: Andy Currie: Simon De Marchi: Kevin McMurray Tracking sharks.com"/>
    <m/>
    <m/>
    <m/>
    <m/>
    <m/>
    <m/>
    <m/>
    <m/>
  </r>
  <r>
    <s v="10th November"/>
    <n v="2025"/>
    <s v="Unprovoked"/>
    <x v="1"/>
    <s v="Western Australia"/>
    <s v="Prevelly Beach Magaret River"/>
    <s v="Foil Boarding"/>
    <s v="Andy McDonald"/>
    <s v="M"/>
    <s v="61"/>
    <s v="No Injury to self"/>
    <s v="N"/>
    <s v="1745hrs"/>
    <s v="Great White Shark"/>
    <s v="Andy Currie"/>
    <m/>
    <m/>
    <m/>
    <m/>
    <m/>
    <m/>
    <m/>
    <m/>
  </r>
  <r>
    <s v="9th November"/>
    <n v="2025"/>
    <s v="Unprovoked"/>
    <x v="2"/>
    <s v="Marquesas Islands"/>
    <s v="Hakahau Bay"/>
    <s v="Swimming"/>
    <s v="Not stated (Dentist)"/>
    <s v="M"/>
    <s v="40"/>
    <s v="Deep Gash to bicep"/>
    <s v="N"/>
    <s v="Not stated"/>
    <s v="3m shark"/>
    <s v="Andrew Currie"/>
    <m/>
    <m/>
    <m/>
    <m/>
    <m/>
    <m/>
    <m/>
    <m/>
  </r>
  <r>
    <s v="5th November"/>
    <n v="2025"/>
    <s v="Unprovoked"/>
    <x v="0"/>
    <s v="Hawaii"/>
    <s v="Pine Trees Hanalei Bay Kaui"/>
    <s v="Swimming"/>
    <s v="Chance Swanson"/>
    <s v="M"/>
    <s v="?"/>
    <s v="Injuries to legs"/>
    <s v="N"/>
    <s v="Mid afternoon"/>
    <s v="Unknown"/>
    <s v="James Kingsley: Andy Currie: Beat of Hawaii:"/>
    <m/>
    <m/>
    <m/>
    <m/>
    <m/>
    <m/>
    <m/>
    <m/>
  </r>
  <r>
    <s v="5th November"/>
    <n v="2025"/>
    <s v="Unprovoked"/>
    <x v="0"/>
    <s v="Texas"/>
    <s v="Matagorda Beach Matagorda"/>
    <s v="Fishing"/>
    <s v="Chuck Bledsoe"/>
    <s v="M"/>
    <s v="?"/>
    <s v="Laceration on top and undermeath right foot"/>
    <s v="N"/>
    <s v="Not stated"/>
    <s v="Not stgated"/>
    <s v="Christofer Eskander: The Bay City Tribune:"/>
    <m/>
    <m/>
    <m/>
    <m/>
    <m/>
    <m/>
    <m/>
    <m/>
  </r>
  <r>
    <s v="4th November"/>
    <n v="2025"/>
    <s v="Unprovoked"/>
    <x v="3"/>
    <m/>
    <s v="Aga Reef Resort Lalomanu"/>
    <s v="Surfing"/>
    <s v="Evan Campbell"/>
    <s v="M"/>
    <s v="13"/>
    <s v="Lacerations to right leg"/>
    <s v="N"/>
    <s v="1800hrs"/>
    <s v="Suspected Tiger shark"/>
    <s v="Andy Currie: STAB Magazine: Facebook Samoa Observers post:"/>
    <m/>
    <m/>
    <m/>
    <m/>
    <m/>
    <m/>
    <m/>
    <m/>
  </r>
  <r>
    <s v="14th October"/>
    <n v="2025"/>
    <s v="Unprovoked"/>
    <x v="4"/>
    <s v=" Bolivar, del Isolate"/>
    <s v="Catagena Province"/>
    <s v="Swimming with sharks"/>
    <s v="Male child"/>
    <s v="M"/>
    <s v="14"/>
    <s v="Severe hand injury"/>
    <s v="N"/>
    <s v="Not stated"/>
    <s v="Nurse shark "/>
    <s v="Kevin McMurray Trackingsharks.com Andy Currie"/>
    <m/>
    <m/>
    <m/>
    <m/>
    <m/>
    <m/>
    <m/>
    <m/>
  </r>
  <r>
    <s v="11th October"/>
    <n v="2025"/>
    <s v="Unprovoked"/>
    <x v="1"/>
    <s v="Queensland"/>
    <s v="Cook Esplanade Thursday Island"/>
    <s v="Fishing/swimming"/>
    <s v="Samuel Nai"/>
    <s v="M"/>
    <s v="14"/>
    <s v="Serious abdonminal injuries"/>
    <s v="N"/>
    <s v="1823 hrs"/>
    <s v="Tiger or Bull shark"/>
    <s v="Kevin McMurray Trackingsharks.com"/>
    <m/>
    <m/>
    <m/>
    <m/>
    <m/>
    <m/>
    <m/>
    <m/>
  </r>
  <r>
    <s v="7th October"/>
    <n v="2025"/>
    <s v="Unprovoked"/>
    <x v="1"/>
    <s v="South Australia"/>
    <s v="Kangaroo Island"/>
    <s v="Surfing"/>
    <s v="Lee Berryman"/>
    <s v="M"/>
    <s v="50+"/>
    <s v="Lacerations to calf "/>
    <s v="N"/>
    <s v="1330hrs"/>
    <s v="Bronze whaler?"/>
    <s v="Kevin McMurray Trackingsharks.com"/>
    <m/>
    <m/>
    <m/>
    <m/>
    <m/>
    <m/>
    <m/>
    <m/>
  </r>
  <r>
    <s v="29th September"/>
    <n v="2025"/>
    <s v="Unprovoked"/>
    <x v="0"/>
    <s v="Off California"/>
    <s v="Catalina Island"/>
    <s v="Swimming"/>
    <s v="Christopher Murray"/>
    <s v="M"/>
    <s v="54"/>
    <s v="Leg and foot injury"/>
    <s v="N"/>
    <s v="0100hrs"/>
    <s v="unknown 1.2m shark"/>
    <s v="Todd Smith: Kevin McMurray Trackingsharks.com"/>
    <m/>
    <m/>
    <m/>
    <m/>
    <m/>
    <m/>
    <m/>
    <m/>
  </r>
  <r>
    <s v="27th September"/>
    <n v="2025"/>
    <s v="Provoked"/>
    <x v="5"/>
    <m/>
    <s v="Cocos Islands"/>
    <s v="Diving-Tagging sharks"/>
    <s v="Dr. Mauricio Hoyos"/>
    <s v="M"/>
    <s v="48"/>
    <s v="Head face and arms"/>
    <s v="N"/>
    <s v="Not stated"/>
    <s v="Tiger shark 4m"/>
    <s v="Todd Smith: Kevin McMurray Trackingsharks.com"/>
    <m/>
    <m/>
    <m/>
    <m/>
    <m/>
    <m/>
    <m/>
    <m/>
  </r>
  <r>
    <s v="6th September"/>
    <n v="2025"/>
    <s v="Unprovoked"/>
    <x v="1"/>
    <s v="NSW"/>
    <s v="Long Reef Sydney"/>
    <s v="Surfing"/>
    <s v="Mercury Psillaskis"/>
    <s v="M"/>
    <s v="57"/>
    <s v="Both legs and arm severed"/>
    <s v="Y"/>
    <s v="0930hrs"/>
    <s v="Great White Shark"/>
    <s v="Todd Smith: Andy Currie: Simon De Marchi: Kevin McMurray Trackingsharks.com:"/>
    <m/>
    <m/>
    <m/>
    <m/>
    <m/>
    <m/>
    <m/>
    <m/>
  </r>
  <r>
    <s v="1st September"/>
    <n v="2025"/>
    <s v="Unprovoked"/>
    <x v="0"/>
    <s v="Florida"/>
    <s v="Horseshoe reef Key Largo"/>
    <s v="Snorkeling"/>
    <s v="Richard Burrows"/>
    <s v="M"/>
    <s v="8"/>
    <s v="Bite to leg"/>
    <s v="N"/>
    <s v="1524hrs"/>
    <s v="Not stated"/>
    <s v="Todd Smith: US SUN: NY Post: The Guardian: People:"/>
    <m/>
    <m/>
    <m/>
    <m/>
    <m/>
    <m/>
    <m/>
    <m/>
  </r>
  <r>
    <s v="30th August"/>
    <n v="2025"/>
    <s v="Unprovoked"/>
    <x v="0"/>
    <s v="Texas"/>
    <s v="Galveston"/>
    <s v="Swimming"/>
    <s v="Harper Ochoa"/>
    <s v="F"/>
    <s v="8"/>
    <s v="Bite to leg"/>
    <s v="N"/>
    <s v="Not stated"/>
    <s v="Not stated"/>
    <s v="Bob Myatt GSAF : People:"/>
    <m/>
    <m/>
    <m/>
    <m/>
    <m/>
    <m/>
    <m/>
    <m/>
  </r>
  <r>
    <s v="18th August"/>
    <n v="2025"/>
    <s v="Unprovoked"/>
    <x v="1"/>
    <s v="NSW"/>
    <s v="Cabarita Beach"/>
    <s v="Surfing"/>
    <s v="Brad Ross"/>
    <s v="M"/>
    <s v="?"/>
    <s v="None sustained board severly damaged"/>
    <s v="N"/>
    <s v="0730hrs"/>
    <s v="5m (16.5ft) Great White"/>
    <s v="Bob Myatt GSAF The Guardian: 9 News: ABS News: Daily Telegraph:"/>
    <m/>
    <m/>
    <m/>
    <m/>
    <m/>
    <m/>
    <m/>
    <m/>
  </r>
  <r>
    <s v="17th August"/>
    <n v="2025"/>
    <s v="Unprovoked"/>
    <x v="6"/>
    <s v="Atlantic Ocean near Big Grand Cay"/>
    <s v="North of Grand Bahama near Freeport"/>
    <s v="Spearfishing"/>
    <s v="Not stated"/>
    <s v="M"/>
    <s v="63"/>
    <s v="Severe injuries no detail"/>
    <s v="N"/>
    <s v="1300hrs"/>
    <s v="Undetermined"/>
    <s v="Ralph Collier GSAF and Kevin MCMurray Trackingsharks.com "/>
    <m/>
    <m/>
    <m/>
    <m/>
    <m/>
    <m/>
    <m/>
    <m/>
  </r>
  <r>
    <s v="16th August"/>
    <n v="2025"/>
    <s v="Provoked"/>
    <x v="0"/>
    <s v="Florida"/>
    <s v="Cayo Costa Boca Grande"/>
    <s v="Fishing"/>
    <s v="Shawn Meuse"/>
    <s v="M"/>
    <s v="?"/>
    <s v="Laceration to right leg below the knee"/>
    <s v="N"/>
    <s v="1055 hrs"/>
    <s v="Lemon shark 1.8 m (6ft)"/>
    <s v="Johannes Marchand: Kevin McMurray Trackingsharks.com"/>
    <m/>
    <m/>
    <m/>
    <m/>
    <m/>
    <m/>
    <m/>
    <m/>
  </r>
  <r>
    <s v="7th August"/>
    <n v="2025"/>
    <s v="Unprovoked"/>
    <x v="1"/>
    <s v="NSW"/>
    <s v="Tathra Beach "/>
    <s v="Surfing"/>
    <s v="Bowie Daley"/>
    <s v="M"/>
    <s v="9"/>
    <s v="None sustained board severely damaged"/>
    <s v="N"/>
    <s v="1630hrs"/>
    <s v="Suspected Great White"/>
    <s v="Bob Myatt GSAF"/>
    <m/>
    <m/>
    <m/>
    <m/>
    <m/>
    <m/>
    <m/>
    <m/>
  </r>
  <r>
    <s v="1st August"/>
    <n v="2025"/>
    <s v="Unprovoked"/>
    <x v="7"/>
    <s v="Carolina"/>
    <s v="Carolina Beach"/>
    <s v="Wading"/>
    <s v="Eleonora Boi"/>
    <s v="F"/>
    <s v="39"/>
    <s v="Bite to thigh area"/>
    <s v="N"/>
    <s v="Not stated"/>
    <s v="Undetermined"/>
    <s v="Kevin McMurray Trackingsharks.com: NY Post"/>
    <m/>
    <m/>
    <m/>
    <m/>
    <m/>
    <m/>
    <m/>
    <m/>
  </r>
  <r>
    <s v="28th July"/>
    <n v="2025"/>
    <s v="Unprovoked"/>
    <x v="1"/>
    <s v="South Australia"/>
    <s v="Seacliff beach Adelaide"/>
    <s v="Kayaking "/>
    <s v="Nathaniel Drummond"/>
    <s v="M"/>
    <s v="19"/>
    <s v="Kayak badly damaged no injury to person"/>
    <s v="N"/>
    <s v="1130hrs"/>
    <s v="Great White Shark est 3m (10ft)"/>
    <s v="Bob Myatt GSAF: Simon de Marchi:"/>
    <m/>
    <m/>
    <m/>
    <m/>
    <m/>
    <m/>
    <m/>
    <m/>
  </r>
  <r>
    <s v="25th July"/>
    <n v="2025"/>
    <s v="Unprovoked"/>
    <x v="2"/>
    <s v="Nuku Hiva"/>
    <s v="Taiohae Bay"/>
    <s v="Swimming"/>
    <s v="Male child"/>
    <s v="M"/>
    <s v="7"/>
    <s v="Injuries to right forearm left hand and calf was missing"/>
    <s v="N"/>
    <s v="Not stated"/>
    <s v="Undetermined"/>
    <s v="Brandyn Gartelman:Kevin McMurray Trackingsharks.com"/>
    <m/>
    <m/>
    <m/>
    <m/>
    <m/>
    <m/>
    <m/>
    <m/>
  </r>
  <r>
    <s v="22nd July"/>
    <n v="2025"/>
    <s v="Unprovoked"/>
    <x v="8"/>
    <s v="Majorca"/>
    <s v="Playa de Palma beach"/>
    <s v="Swimming"/>
    <s v="Italian women"/>
    <s v="F "/>
    <s v="85"/>
    <s v="Gash to leg"/>
    <s v="N"/>
    <s v="1130hrs"/>
    <s v="Undetermined"/>
    <s v="Bob Myatt GSAF"/>
    <m/>
    <m/>
    <m/>
    <m/>
    <m/>
    <m/>
    <m/>
    <m/>
  </r>
  <r>
    <s v="20th July"/>
    <n v="2025"/>
    <s v="Unprovoked"/>
    <x v="9"/>
    <s v="Fuerteventura"/>
    <s v="Los Mollinas"/>
    <s v="Surfing (Hydrofoiling)"/>
    <s v="Unknown"/>
    <s v="M"/>
    <s v="?"/>
    <s v="Lacerations to left leg above the knee"/>
    <s v="N"/>
    <s v="PM"/>
    <s v="Undetermined"/>
    <s v="Kevin McMurray Trackingsharks.com"/>
    <m/>
    <m/>
    <m/>
    <m/>
    <m/>
    <m/>
    <m/>
    <m/>
  </r>
  <r>
    <s v="19th July"/>
    <n v="2025"/>
    <s v="Unprovoked"/>
    <x v="0"/>
    <s v="Florida"/>
    <s v="Jupiter Inlet off Jupiter Beach Palm Beach County"/>
    <s v="Diving"/>
    <s v="Jeff Joel"/>
    <s v="M"/>
    <s v="69"/>
    <s v="Lacerations to right forearm "/>
    <s v="N"/>
    <s v="Not stated"/>
    <s v="Lemon shark"/>
    <s v="Brandyn Gartelman: Kevin McMurray Trackingsharks.com NBC 6:"/>
    <m/>
    <m/>
    <m/>
    <m/>
    <m/>
    <m/>
    <m/>
    <m/>
  </r>
  <r>
    <s v="18th July"/>
    <n v="2025"/>
    <s v="Unprovoked"/>
    <x v="0"/>
    <s v="Florida"/>
    <s v="New Smyrna Beach"/>
    <s v="Surfing"/>
    <s v="Sam Hollis"/>
    <s v="M"/>
    <s v="18"/>
    <s v="Lacerations to left foot"/>
    <s v="N"/>
    <s v="1150hrs"/>
    <s v="Undetermined"/>
    <s v="Brandyn Gartelman: Kevin McMurray Trackingsharks.com; Fox 35"/>
    <m/>
    <m/>
    <m/>
    <m/>
    <m/>
    <m/>
    <m/>
    <m/>
  </r>
  <r>
    <s v="15th July"/>
    <n v="2025"/>
    <s v="Unprovoked"/>
    <x v="6"/>
    <s v="Great Abaco Islands"/>
    <s v="Spanish Cay"/>
    <s v="Spearfishing"/>
    <s v="Michael Reich"/>
    <s v="M"/>
    <s v="66"/>
    <s v="Lacerations to right arm"/>
    <s v="N"/>
    <s v="Not stated"/>
    <s v="5ft (1.5m) Bull shark"/>
    <s v="Kevin McMurray Trackingsharks.com: The Palm Beach Post"/>
    <m/>
    <m/>
    <m/>
    <m/>
    <m/>
    <m/>
    <m/>
    <m/>
  </r>
  <r>
    <s v="6th July "/>
    <n v="2025"/>
    <s v="Provoked"/>
    <x v="0"/>
    <s v="Massachusetts"/>
    <s v="Hoicks Hollow Nantucket Beach"/>
    <s v="Fishing"/>
    <s v="Unknown Male"/>
    <s v="M"/>
    <s v="21"/>
    <s v="Injury to leg"/>
    <s v="N"/>
    <s v="Not stated"/>
    <s v="Unknown"/>
    <s v="Johannes Marchand: Nantucket Current"/>
    <m/>
    <m/>
    <m/>
    <m/>
    <m/>
    <m/>
    <m/>
    <m/>
  </r>
  <r>
    <s v="6th July"/>
    <n v="2025"/>
    <s v="Unprovoked"/>
    <x v="0"/>
    <s v="Florida"/>
    <s v="New Smyrna Beach"/>
    <s v="Surfing"/>
    <s v="Unknown Male"/>
    <s v="M"/>
    <s v="40"/>
    <s v="Lacerations to right arm"/>
    <s v="N"/>
    <s v="1500hrs"/>
    <s v="Undetermined small shall shark"/>
    <s v="Todd Smith:Kevin McMurray Trackingsharks.com: Fox 35:"/>
    <m/>
    <m/>
    <m/>
    <m/>
    <m/>
    <m/>
    <m/>
    <m/>
  </r>
  <r>
    <s v="4th July"/>
    <n v="2025"/>
    <s v="Unprovoked"/>
    <x v="10"/>
    <s v="KwaZulu-Natal"/>
    <s v="Mfazazana Hibberdene"/>
    <s v="Fishing"/>
    <s v="Unknown Male"/>
    <s v="M"/>
    <s v="37"/>
    <s v="Mltiple injuries to body"/>
    <s v="Y"/>
    <s v="PM"/>
    <s v="Undetermined "/>
    <s v="Kevin McMurray Tracking sharks.com: East Coast Radio"/>
    <m/>
    <m/>
    <m/>
    <m/>
    <m/>
    <m/>
    <m/>
    <m/>
  </r>
  <r>
    <s v="29th June"/>
    <n v="2025"/>
    <s v="Unprovoked"/>
    <x v="1"/>
    <s v="NSW"/>
    <s v="Norries Headland Cabarita Beach"/>
    <s v="Swimming"/>
    <s v="Unknown teenage Male"/>
    <s v="M"/>
    <s v="16"/>
    <s v="Serious bites to r bicep r wrist and r leg"/>
    <s v="N"/>
    <s v="1600"/>
    <s v="2m Bull shark?"/>
    <s v="Simon De Marchi: Kevin McMurray Trackingsharks.com: 9 News: Daily Mail:"/>
    <m/>
    <m/>
    <m/>
    <m/>
    <m/>
    <m/>
    <m/>
    <m/>
  </r>
  <r>
    <s v="25th June"/>
    <n v="2025"/>
    <s v="Unprovoked"/>
    <x v="0"/>
    <s v="Long Island NY"/>
    <s v="Wantagh"/>
    <s v="Swimming"/>
    <s v="Unknown Female"/>
    <s v="F"/>
    <s v="20"/>
    <s v="Lacerations to lower left foot and leg"/>
    <s v="N"/>
    <s v="1615 hrs"/>
    <s v="Sand Tiger shark"/>
    <s v="Scott Curatolo-Wagemann: News 12 Long Island: CNN:"/>
    <m/>
    <m/>
    <m/>
    <m/>
    <m/>
    <m/>
    <m/>
    <m/>
  </r>
  <r>
    <s v="22nd June"/>
    <n v="2025"/>
    <s v="Unprovoked"/>
    <x v="0"/>
    <s v="South Carolina"/>
    <s v="Coligny Beach Hilton Head Island  "/>
    <s v="Swimming"/>
    <s v="Teenage girl"/>
    <s v="F"/>
    <s v="?"/>
    <s v="Laceration to lower right leg"/>
    <s v="N"/>
    <s v="1210hrs"/>
    <s v="Small shark"/>
    <s v="Todd Smith: WJCL22 News: The Island Packet: KVNU:"/>
    <m/>
    <m/>
    <m/>
    <m/>
    <m/>
    <m/>
    <m/>
    <m/>
  </r>
  <r>
    <s v="17th June"/>
    <n v="2025"/>
    <s v="Unprovoked"/>
    <x v="0"/>
    <s v="South Carolina"/>
    <s v="Beach Marker 24 Hilton Head Island  "/>
    <s v="Swimming"/>
    <s v="Pre-teenage girl"/>
    <s v="F"/>
    <s v="12"/>
    <s v="Laceration to lower right leg"/>
    <s v="N"/>
    <s v="1200hrs"/>
    <s v="Not stated"/>
    <s v="Kevin McMurray Trackingsharks.com: "/>
    <m/>
    <m/>
    <m/>
    <m/>
    <m/>
    <m/>
    <m/>
    <m/>
  </r>
  <r>
    <d v="2025-06-11T00:00:00"/>
    <n v="2025"/>
    <s v="Unprovoked"/>
    <x v="0"/>
    <s v="Florida"/>
    <s v="Boca Grande"/>
    <s v="Snorkeling"/>
    <s v="Leah Lendel"/>
    <s v="F"/>
    <s v="9"/>
    <s v="Right hand almost torn off"/>
    <s v="N"/>
    <s v="1211 hrs"/>
    <s v="Bull shark"/>
    <s v="Kevin McMurray Trackingsharks.com: James Kingsley: Fox 4 News"/>
    <m/>
    <m/>
    <m/>
    <m/>
    <m/>
    <m/>
    <m/>
    <m/>
  </r>
  <r>
    <s v="31st May"/>
    <n v="2025"/>
    <s v="Unprovoked"/>
    <x v="0"/>
    <s v="California"/>
    <s v="Montara State Beach"/>
    <s v="Surfing"/>
    <s v="Jens Heller"/>
    <s v="M"/>
    <s v="42"/>
    <s v="No injury "/>
    <s v="N"/>
    <s v="1400hrs"/>
    <s v="Great White"/>
    <s v="James Kingsley: The US Sun"/>
    <m/>
    <m/>
    <m/>
    <m/>
    <m/>
    <m/>
    <m/>
    <m/>
  </r>
  <r>
    <d v="2025-05-29T00:00:00"/>
    <n v="2025"/>
    <s v="Unprovoked"/>
    <x v="0"/>
    <s v="North Carolina"/>
    <s v="Sunset Beach"/>
    <s v="Swimming"/>
    <s v="Sean Barton"/>
    <s v="M"/>
    <s v="26"/>
    <s v="Gash to lower left leg"/>
    <s v="N"/>
    <s v="1100hrs"/>
    <s v="Not stated"/>
    <s v="Kevin McMurray Trackingsharks.com: Clay Crewell:Scott Curatolo-Wageman"/>
    <m/>
    <m/>
    <m/>
    <m/>
    <m/>
    <m/>
    <m/>
    <m/>
  </r>
  <r>
    <d v="2025-05-26T00:00:00"/>
    <n v="2025"/>
    <s v="Unprovoked"/>
    <x v="11"/>
    <s v="South Santo"/>
    <s v="Espiitu Santo Island"/>
    <s v="Swimming"/>
    <s v="Tumas"/>
    <s v="M"/>
    <s v="14"/>
    <s v="Multiple injuries to body one hand and leg bitten off"/>
    <s v="Y"/>
    <s v="PM"/>
    <s v="Not stated"/>
    <s v="Kevin McMurray Trackingsharks.com"/>
    <m/>
    <m/>
    <m/>
    <m/>
    <m/>
    <m/>
    <m/>
    <m/>
  </r>
  <r>
    <d v="2025-05-15T00:00:00"/>
    <n v="2025"/>
    <s v="Unprovoked"/>
    <x v="1"/>
    <s v="South Australia"/>
    <s v="Port Noarlunga"/>
    <s v="Swimming"/>
    <s v="Richard Vinall"/>
    <s v="M"/>
    <s v="66"/>
    <s v="Injury to thigh"/>
    <s v="N"/>
    <s v="0945hrs"/>
    <s v="Not stated"/>
    <s v="Simon DeMarchi: Todd Smith: 9 News:ABC News"/>
    <m/>
    <m/>
    <m/>
    <m/>
    <m/>
    <m/>
    <m/>
    <m/>
  </r>
  <r>
    <d v="2025-05-08T00:00:00"/>
    <n v="2025"/>
    <s v="Unprovoked"/>
    <x v="12"/>
    <s v="Montego Bay"/>
    <s v="Rose Hall beach"/>
    <s v="Paddling"/>
    <s v="Rachel Smith"/>
    <s v="F"/>
    <s v="26"/>
    <s v="minor injuries to fingers of left hand"/>
    <s v="N"/>
    <s v="Not stated"/>
    <s v="Small shark 1m (3ft) long"/>
    <s v="The sun News: Metro: Kevin McMurray Tracking sharks.com"/>
    <m/>
    <m/>
    <m/>
    <m/>
    <m/>
    <m/>
    <m/>
    <m/>
  </r>
  <r>
    <d v="2025-04-21T00:00:00"/>
    <n v="2025"/>
    <s v="Unprovoked"/>
    <x v="13"/>
    <s v="Hadera"/>
    <s v="Olga Beach near Hadera Stream "/>
    <s v="Diving"/>
    <s v="Barak Tzach"/>
    <s v="M"/>
    <s v="45"/>
    <s v="Remains recovered several days after the attcks"/>
    <s v="Y"/>
    <s v="1500hrs"/>
    <s v="Dusky sharks"/>
    <s v="Ynetnews.com: Dailymirroe.co.uk: Todd Smith Alessandro Maddalena: Andrew Currie"/>
    <m/>
    <m/>
    <m/>
    <m/>
    <m/>
    <m/>
    <m/>
    <m/>
  </r>
  <r>
    <d v="2025-04-20T00:00:00"/>
    <n v="2025"/>
    <s v="Questionable"/>
    <x v="14"/>
    <s v="Quntana Roo"/>
    <s v="Chac Mool Beach Cancun"/>
    <s v="Rescuing female companion "/>
    <s v="Alejandro Cortes"/>
    <s v="M"/>
    <s v="20"/>
    <s v="Victim drown and was scavenged by sharks"/>
    <s v="Y"/>
    <s v="Not stated"/>
    <s v="Not Staed"/>
    <s v="Mundo Now: Reutir&quot; Kevin McMurray Trackingsharks.com"/>
    <m/>
    <m/>
    <m/>
    <m/>
    <m/>
    <m/>
    <m/>
    <m/>
  </r>
  <r>
    <d v="2025-04-19T00:00:00"/>
    <n v="2025"/>
    <s v="Unprovoked"/>
    <x v="15"/>
    <s v="Kulhudhuffushi City"/>
    <s v="Haa Dhaalu atoll"/>
    <s v="Snorkeling"/>
    <s v="Unknown Male"/>
    <s v="M"/>
    <s v="30"/>
    <s v="Injuries to right shoulder"/>
    <s v="N"/>
    <s v="Not stated"/>
    <s v="Not stated"/>
    <s v="Todd Smith: The edition: https://en.sun.mv/96031"/>
    <m/>
    <m/>
    <m/>
    <m/>
    <m/>
    <m/>
    <m/>
    <m/>
  </r>
  <r>
    <d v="2025-04-12T00:00:00"/>
    <n v="2025"/>
    <s v="Unprovoked"/>
    <x v="0"/>
    <s v="Florida"/>
    <s v="Everglades National Park Flamingo Lodge Highway West Miami-Dade (Monroe County)"/>
    <s v="Undisclosed"/>
    <s v="Unknown Male"/>
    <s v="M"/>
    <s v="?"/>
    <s v="Injuries to right hand and arm"/>
    <s v="N"/>
    <s v="1500hrs"/>
    <s v="Not stated"/>
    <s v="Kevin McMurray Trackingsharks.com: Florida News: www.dailymail.co.uk"/>
    <m/>
    <m/>
    <m/>
    <m/>
    <m/>
    <m/>
    <m/>
    <m/>
  </r>
  <r>
    <d v="2025-03-26T00:00:00"/>
    <n v="2025"/>
    <s v="Unprovoked"/>
    <x v="1"/>
    <s v="WA"/>
    <s v="Sandtrax Port Beach North Fremantle Perth"/>
    <s v="Swimming"/>
    <s v="Unknown Male"/>
    <s v="M"/>
    <s v="30+"/>
    <s v="Bumping to the body"/>
    <s v="N"/>
    <s v="1430hrs"/>
    <s v="1.5m Tiger shark"/>
    <s v="Kevin McMurray Trackingsharks.com: www.surfer.com "/>
    <m/>
    <m/>
    <m/>
    <m/>
    <m/>
    <m/>
    <m/>
    <m/>
  </r>
  <r>
    <d v="2025-03-10T00:00:00"/>
    <n v="2025"/>
    <s v="Unprovoked"/>
    <x v="1"/>
    <s v="WA"/>
    <s v="Duke of Orleans Bay"/>
    <s v="Surfing"/>
    <s v="Steven Jeffrey Payne"/>
    <s v="M"/>
    <s v="37"/>
    <s v="Missing body not recovered"/>
    <s v="Y"/>
    <s v="1210 hrs"/>
    <s v="Great White Shark"/>
    <s v="Bob Myatt"/>
    <m/>
    <m/>
    <m/>
    <m/>
    <m/>
    <m/>
    <m/>
    <m/>
  </r>
  <r>
    <d v="2025-03-07T00:00:00"/>
    <n v="2025"/>
    <s v="Unprovoked"/>
    <x v="1"/>
    <s v="NSW"/>
    <s v="Gunyah beach Bundeena Port Hacking"/>
    <s v="Swimming"/>
    <s v="Mangyong Zhang"/>
    <s v="F "/>
    <s v="56"/>
    <s v="Serious lacerations above right knee."/>
    <s v="N"/>
    <s v="1340hrs"/>
    <s v="Bull shark"/>
    <s v="Bob Myatt"/>
    <m/>
    <m/>
    <m/>
    <m/>
    <m/>
    <m/>
    <m/>
    <m/>
  </r>
  <r>
    <d v="2025-02-27T00:00:00"/>
    <n v="2025"/>
    <s v="Unprovoked"/>
    <x v="1"/>
    <s v="Victoria"/>
    <s v="Nuns Beach near Portland"/>
    <s v="Swimming"/>
    <s v="Robbie Houlihan"/>
    <s v="M"/>
    <s v="40+"/>
    <s v="minor lacerations to left calf"/>
    <s v="N"/>
    <s v="Unknown"/>
    <s v="Not stated"/>
    <s v="Kevin McMurray Trackingsharks.com"/>
    <m/>
    <m/>
    <m/>
    <m/>
    <m/>
    <m/>
    <m/>
    <m/>
  </r>
  <r>
    <s v="27-Feb-25"/>
    <n v="2025"/>
    <s v="Questionable"/>
    <x v="16"/>
    <s v="Batangas Resort"/>
    <s v="Verde Island"/>
    <s v="SCUBA Diving"/>
    <s v="Illia Peregudin"/>
    <s v="M"/>
    <s v="29"/>
    <s v="both arms severed by sharks after drowning"/>
    <s v="Y"/>
    <s v="1300hrs"/>
    <s v="Not stated "/>
    <s v="Stephen Parkhill   Glen Folkard"/>
    <m/>
    <m/>
    <m/>
    <m/>
    <m/>
    <m/>
    <m/>
    <m/>
  </r>
  <r>
    <d v="2025-02-22T00:00:00"/>
    <n v="2025"/>
    <s v="Unprovoked"/>
    <x v="1"/>
    <s v="Western Australia"/>
    <s v="Blasck Wall Reach Swan River Perth"/>
    <s v="Kayaking"/>
    <s v="Georgina Smith"/>
    <s v="F"/>
    <n v="35"/>
    <s v="None kayak badly damaged by shark"/>
    <s v="N"/>
    <s v="0815hrs"/>
    <s v="Not stated"/>
    <s v="Bob Myatt GSAF"/>
    <m/>
    <m/>
    <m/>
    <m/>
    <m/>
    <m/>
    <m/>
    <m/>
  </r>
  <r>
    <d v="2025-02-22T00:00:00"/>
    <n v="2025"/>
    <s v="Questionable"/>
    <x v="1"/>
    <s v="NSW"/>
    <s v="Off Port Stephens near Newcastle"/>
    <s v="Fishing was pulled of boat by shark"/>
    <s v="Paul Barning"/>
    <s v="M"/>
    <n v="58"/>
    <s v="Body not recovered"/>
    <s v="Y"/>
    <s v="1300hrs"/>
    <s v="Mako shark"/>
    <s v="Simon De Marchi: Bob Myatt GSAF"/>
    <m/>
    <m/>
    <m/>
    <m/>
    <m/>
    <m/>
    <m/>
    <m/>
  </r>
  <r>
    <d v="2025-02-22T00:00:00"/>
    <n v="2025"/>
    <s v="Unprovoked"/>
    <x v="1"/>
    <s v="Queensland"/>
    <s v="The Wrecks walking track Moreton Island"/>
    <s v="Snorkeling"/>
    <s v="Unknown Male"/>
    <s v="M"/>
    <n v="29"/>
    <s v="Abdominal and leg injuries"/>
    <s v="N"/>
    <s v="1503hrs"/>
    <s v="Not stated"/>
    <s v="Bob Myatt GSAF"/>
    <m/>
    <m/>
    <m/>
    <m/>
    <m/>
    <m/>
    <m/>
    <m/>
  </r>
  <r>
    <d v="2025-02-10T00:00:00"/>
    <n v="2025"/>
    <s v="Unprovoked"/>
    <x v="6"/>
    <m/>
    <s v="Bimini Bay"/>
    <s v="Swimming"/>
    <s v="Summer Layman"/>
    <s v="F"/>
    <n v="24"/>
    <s v="Left foot injured"/>
    <s v="N"/>
    <s v="1830hrs"/>
    <s v="bull shark"/>
    <s v="Dail Mail Australia Todd Smith: Kevin McMurray Trackingsharks.com"/>
    <m/>
    <m/>
    <m/>
    <m/>
    <m/>
    <m/>
    <m/>
    <m/>
  </r>
  <r>
    <d v="2025-02-10T00:00:00"/>
    <n v="2025"/>
    <s v="Unprovoked"/>
    <x v="6"/>
    <m/>
    <s v="Bimini Bay"/>
    <s v="Swimming"/>
    <s v="Rileigh Decker"/>
    <s v="F"/>
    <n v="20"/>
    <s v="Severed archilles tendon artery severed nerves severed."/>
    <s v="N"/>
    <s v="1830hrs"/>
    <s v="bull shark"/>
    <s v="Dail Mail Australia Todd Smith: Kevin McMurray Trackingsharks.com"/>
    <m/>
    <m/>
    <m/>
    <m/>
    <m/>
    <m/>
    <m/>
    <m/>
  </r>
  <r>
    <d v="2025-02-07T00:00:00"/>
    <n v="2025"/>
    <s v="Unprovoked"/>
    <x v="17"/>
    <s v="Near five Cays settlement West Caicos"/>
    <s v="Thompson Cove Beach"/>
    <s v="Swimming"/>
    <s v="Canadian tourist"/>
    <s v="F"/>
    <n v="55"/>
    <s v="both hands bitten off and a bite to left thigh"/>
    <s v="N"/>
    <s v="Unknown"/>
    <s v="1.8m (6ft) bull shark"/>
    <s v="Todd Smith: Platform X Kevin McMurray  Trackingsharks.com"/>
    <m/>
    <m/>
    <m/>
    <m/>
    <m/>
    <m/>
    <m/>
    <m/>
  </r>
  <r>
    <d v="2025-02-03T00:00:00"/>
    <n v="2025"/>
    <s v="Unprovoked"/>
    <x v="1"/>
    <s v="Queensland"/>
    <s v="Woorim Beach, Bribie Island,"/>
    <s v="Swimming"/>
    <s v="Charlize Zmuda"/>
    <s v="F"/>
    <n v="17"/>
    <s v="Bites to arm and upper body"/>
    <s v="Y"/>
    <s v="1645 hrs"/>
    <s v="Bull shark"/>
    <s v="9 News: The Brisbane Times: The Guardian"/>
    <m/>
    <m/>
    <m/>
    <m/>
    <m/>
    <m/>
    <m/>
    <m/>
  </r>
  <r>
    <d v="2025-01-23T00:00:00"/>
    <n v="2025"/>
    <s v="Unprovoked"/>
    <x v="1"/>
    <s v="Western Australia"/>
    <s v="Shipwreck Cove"/>
    <s v="Bathing"/>
    <s v="Boy "/>
    <s v="M"/>
    <n v="12"/>
    <s v="Minor bite to lower body"/>
    <s v="N"/>
    <s v="1711hrs"/>
    <s v="Not stated"/>
    <s v="Bob Myatt GSAF"/>
    <m/>
    <m/>
    <m/>
    <m/>
    <m/>
    <m/>
    <m/>
    <m/>
  </r>
  <r>
    <d v="2025-01-22T00:00:00"/>
    <n v="2025"/>
    <s v="Unprovoked"/>
    <x v="1"/>
    <s v="Western Australia"/>
    <s v="Cheynes beach "/>
    <s v="Surfing"/>
    <s v="Dale Kittow"/>
    <s v="M"/>
    <n v="37"/>
    <s v="None - chunk of surfboard  bitten out"/>
    <s v="N"/>
    <s v="1600hrs"/>
    <s v="Bronze whaler"/>
    <s v="Bob Myatt GSAF"/>
    <m/>
    <m/>
    <m/>
    <m/>
    <m/>
    <m/>
    <m/>
    <m/>
  </r>
  <r>
    <d v="2025-01-03T00:00:00"/>
    <n v="2025"/>
    <s v="Unprovoked"/>
    <x v="18"/>
    <s v="Inhambane Province"/>
    <s v="Vilankulo Bay"/>
    <s v="Spearfishing"/>
    <s v="Albert Vilanculo"/>
    <s v="M"/>
    <n v="36"/>
    <s v="Legs, buttocks and stomach "/>
    <s v="Y"/>
    <s v="1330hrs"/>
    <s v="Described as a large terrifying animal"/>
    <s v="Kevin McMurray Trackingsharks.com"/>
    <m/>
    <m/>
    <m/>
    <m/>
    <m/>
    <m/>
    <m/>
    <m/>
  </r>
  <r>
    <d v="2025-01-11T00:00:00"/>
    <n v="2025"/>
    <s v="Provoked"/>
    <x v="0"/>
    <s v="Hawaii"/>
    <s v="Off Haleiwa Boat Harbour Oahu"/>
    <s v="Diving"/>
    <s v="Male not stated was a dive tour worker"/>
    <s v="M"/>
    <n v="23"/>
    <s v="Bitten on the arm"/>
    <s v="N"/>
    <s v="1340hrs"/>
    <s v="Not stated"/>
    <s v="Kevin McMurray Trackingsharks.com"/>
    <m/>
    <m/>
    <m/>
    <m/>
    <m/>
    <m/>
    <m/>
    <m/>
  </r>
  <r>
    <d v="2025-01-02T00:00:00"/>
    <n v="2025"/>
    <s v="Unprovoked"/>
    <x v="19"/>
    <s v="Grande Terre"/>
    <s v="Islet of Kendek near Koumac"/>
    <s v="Spearfishing"/>
    <s v="Robert Cuewapuru"/>
    <s v="M"/>
    <n v="40"/>
    <s v="Severe arm injury and delay in medical treatment caused victim to die "/>
    <s v="Y"/>
    <s v="1615hr"/>
    <s v="Reportedly Tiger or Bull shark"/>
    <s v="Johannes Marchand Todd Smith "/>
    <m/>
    <m/>
    <m/>
    <m/>
    <m/>
    <m/>
    <m/>
    <m/>
  </r>
  <r>
    <d v="2025-01-02T00:00:00"/>
    <n v="2025"/>
    <s v="Unprovoked"/>
    <x v="1"/>
    <s v="South Australia"/>
    <s v="Granites Beach near Westall Streaky Bay"/>
    <s v="Surfing"/>
    <s v="Lance Appleby"/>
    <s v="M"/>
    <n v="28"/>
    <s v="Body not recovered"/>
    <s v="Y"/>
    <s v="1710hr"/>
    <s v="Great White Shart estimated 4.8m 16 ft"/>
    <s v="Glen Folkard: Simon De Marchi News.com.au: The News Daily: The National Tribune:"/>
    <m/>
    <m/>
    <m/>
    <m/>
    <m/>
    <m/>
    <m/>
    <m/>
  </r>
  <r>
    <d v="2024-07-04T00:00:00"/>
    <n v="2025"/>
    <s v="Unprovoked"/>
    <x v="0"/>
    <s v="Texas"/>
    <s v="South Padre Island"/>
    <s v="Swimming"/>
    <s v="Victoria Bazaldua"/>
    <s v="F"/>
    <n v="18"/>
    <s v="Superficial wounds to leg"/>
    <s v="N"/>
    <s v="?"/>
    <s v="6 ft shark"/>
    <s v="CNN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C7EE6F-7240-4274-8A7B-9828C8E9E41D}" name="Kontingenční tabulka1" cacheId="3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A3:B24" firstHeaderRow="1" firstDataRow="1" firstDataCol="1"/>
  <pivotFields count="23">
    <pivotField showAll="0"/>
    <pivotField dataField="1" showAll="0"/>
    <pivotField showAll="0"/>
    <pivotField axis="axisRow" showAll="0" sortType="descending">
      <items count="21">
        <item x="11"/>
        <item x="0"/>
        <item x="17"/>
        <item x="8"/>
        <item x="10"/>
        <item x="3"/>
        <item x="7"/>
        <item x="16"/>
        <item x="19"/>
        <item x="18"/>
        <item x="14"/>
        <item x="15"/>
        <item x="12"/>
        <item x="13"/>
        <item x="2"/>
        <item x="5"/>
        <item x="4"/>
        <item x="9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1">
    <i>
      <x v="1"/>
    </i>
    <i>
      <x v="19"/>
    </i>
    <i>
      <x v="18"/>
    </i>
    <i>
      <x v="14"/>
    </i>
    <i>
      <x v="10"/>
    </i>
    <i>
      <x v="12"/>
    </i>
    <i>
      <x v="4"/>
    </i>
    <i>
      <x v="16"/>
    </i>
    <i>
      <x v="5"/>
    </i>
    <i>
      <x v="11"/>
    </i>
    <i>
      <x v="6"/>
    </i>
    <i>
      <x v="13"/>
    </i>
    <i>
      <x v="7"/>
    </i>
    <i>
      <x v="15"/>
    </i>
    <i>
      <x v="17"/>
    </i>
    <i>
      <x v="3"/>
    </i>
    <i>
      <x v="2"/>
    </i>
    <i>
      <x v="8"/>
    </i>
    <i>
      <x/>
    </i>
    <i>
      <x v="9"/>
    </i>
    <i t="grand">
      <x/>
    </i>
  </rowItems>
  <colItems count="1">
    <i/>
  </colItems>
  <dataFields count="1">
    <dataField name="Počet z Year" fld="1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B16F2-DEAE-4CE0-8E70-488932151351}">
  <dimension ref="A2:B24"/>
  <sheetViews>
    <sheetView tabSelected="1" topLeftCell="A10" workbookViewId="0">
      <selection activeCell="O18" sqref="O18"/>
    </sheetView>
  </sheetViews>
  <sheetFormatPr defaultRowHeight="14.5" x14ac:dyDescent="0.35"/>
  <cols>
    <col min="1" max="1" width="17.1796875" bestFit="1" customWidth="1"/>
    <col min="2" max="2" width="11" bestFit="1" customWidth="1"/>
  </cols>
  <sheetData>
    <row r="2" spans="1:2" x14ac:dyDescent="0.35">
      <c r="A2" t="s">
        <v>3</v>
      </c>
      <c r="B2" t="s">
        <v>495</v>
      </c>
    </row>
    <row r="3" spans="1:2" x14ac:dyDescent="0.35">
      <c r="A3" s="4" t="s">
        <v>492</v>
      </c>
      <c r="B3" t="s">
        <v>494</v>
      </c>
    </row>
    <row r="4" spans="1:2" x14ac:dyDescent="0.35">
      <c r="A4" s="5" t="s">
        <v>25</v>
      </c>
      <c r="B4" s="3">
        <v>22</v>
      </c>
    </row>
    <row r="5" spans="1:2" x14ac:dyDescent="0.35">
      <c r="A5" s="5" t="s">
        <v>61</v>
      </c>
      <c r="B5" s="3">
        <v>22</v>
      </c>
    </row>
    <row r="6" spans="1:2" x14ac:dyDescent="0.35">
      <c r="A6" s="5" t="s">
        <v>186</v>
      </c>
      <c r="B6" s="3">
        <v>4</v>
      </c>
    </row>
    <row r="7" spans="1:2" x14ac:dyDescent="0.35">
      <c r="A7" s="5" t="s">
        <v>83</v>
      </c>
      <c r="B7" s="3">
        <v>2</v>
      </c>
    </row>
    <row r="8" spans="1:2" x14ac:dyDescent="0.35">
      <c r="A8" s="5" t="s">
        <v>369</v>
      </c>
      <c r="B8" s="3">
        <v>1</v>
      </c>
    </row>
    <row r="9" spans="1:2" x14ac:dyDescent="0.35">
      <c r="A9" s="5" t="s">
        <v>352</v>
      </c>
      <c r="B9" s="3">
        <v>1</v>
      </c>
    </row>
    <row r="10" spans="1:2" x14ac:dyDescent="0.35">
      <c r="A10" s="5" t="s">
        <v>283</v>
      </c>
      <c r="B10" s="3">
        <v>1</v>
      </c>
    </row>
    <row r="11" spans="1:2" x14ac:dyDescent="0.35">
      <c r="A11" s="5" t="s">
        <v>115</v>
      </c>
      <c r="B11" s="3">
        <v>1</v>
      </c>
    </row>
    <row r="12" spans="1:2" x14ac:dyDescent="0.35">
      <c r="A12" s="5" t="s">
        <v>106</v>
      </c>
      <c r="B12" s="3">
        <v>1</v>
      </c>
    </row>
    <row r="13" spans="1:2" x14ac:dyDescent="0.35">
      <c r="A13" s="5" t="s">
        <v>378</v>
      </c>
      <c r="B13" s="3">
        <v>1</v>
      </c>
    </row>
    <row r="14" spans="1:2" x14ac:dyDescent="0.35">
      <c r="A14" s="5" t="s">
        <v>210</v>
      </c>
      <c r="B14" s="3">
        <v>1</v>
      </c>
    </row>
    <row r="15" spans="1:2" x14ac:dyDescent="0.35">
      <c r="A15" s="5" t="s">
        <v>360</v>
      </c>
      <c r="B15" s="3">
        <v>1</v>
      </c>
    </row>
    <row r="16" spans="1:2" x14ac:dyDescent="0.35">
      <c r="A16" s="5" t="s">
        <v>412</v>
      </c>
      <c r="B16" s="3">
        <v>1</v>
      </c>
    </row>
    <row r="17" spans="1:2" x14ac:dyDescent="0.35">
      <c r="A17" s="5" t="s">
        <v>151</v>
      </c>
      <c r="B17" s="3">
        <v>1</v>
      </c>
    </row>
    <row r="18" spans="1:2" x14ac:dyDescent="0.35">
      <c r="A18" s="5" t="s">
        <v>242</v>
      </c>
      <c r="B18" s="3">
        <v>1</v>
      </c>
    </row>
    <row r="19" spans="1:2" x14ac:dyDescent="0.35">
      <c r="A19" s="5" t="s">
        <v>234</v>
      </c>
      <c r="B19" s="3">
        <v>1</v>
      </c>
    </row>
    <row r="20" spans="1:2" x14ac:dyDescent="0.35">
      <c r="A20" s="5" t="s">
        <v>443</v>
      </c>
      <c r="B20" s="3">
        <v>1</v>
      </c>
    </row>
    <row r="21" spans="1:2" x14ac:dyDescent="0.35">
      <c r="A21" s="5" t="s">
        <v>474</v>
      </c>
      <c r="B21" s="3">
        <v>1</v>
      </c>
    </row>
    <row r="22" spans="1:2" x14ac:dyDescent="0.35">
      <c r="A22" s="5" t="s">
        <v>341</v>
      </c>
      <c r="B22" s="3">
        <v>1</v>
      </c>
    </row>
    <row r="23" spans="1:2" x14ac:dyDescent="0.35">
      <c r="A23" s="5" t="s">
        <v>465</v>
      </c>
      <c r="B23" s="3">
        <v>1</v>
      </c>
    </row>
    <row r="24" spans="1:2" x14ac:dyDescent="0.35">
      <c r="A24" s="5" t="s">
        <v>493</v>
      </c>
      <c r="B24" s="3">
        <v>66</v>
      </c>
    </row>
  </sheetData>
  <pageMargins left="0.7" right="0.7" top="0.78740157499999996" bottom="0.78740157499999996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7"/>
  <sheetViews>
    <sheetView workbookViewId="0">
      <selection activeCell="X1" sqref="X1"/>
    </sheetView>
  </sheetViews>
  <sheetFormatPr defaultRowHeight="14.5" x14ac:dyDescent="0.35"/>
  <cols>
    <col min="1" max="1" width="10.36328125" customWidth="1"/>
    <col min="2" max="2" width="11" customWidth="1"/>
    <col min="3" max="4" width="20.36328125" customWidth="1"/>
    <col min="5" max="5" width="17.26953125" customWidth="1"/>
    <col min="6" max="6" width="20.7265625" customWidth="1"/>
    <col min="7" max="7" width="17.81640625" customWidth="1"/>
    <col min="8" max="8" width="16.90625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B2">
        <v>2025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</row>
    <row r="3" spans="1:23" x14ac:dyDescent="0.35">
      <c r="A3" t="s">
        <v>37</v>
      </c>
      <c r="B3">
        <v>2025</v>
      </c>
      <c r="C3" t="s">
        <v>24</v>
      </c>
      <c r="D3" t="s">
        <v>25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</row>
    <row r="4" spans="1:23" x14ac:dyDescent="0.35">
      <c r="A4" t="s">
        <v>49</v>
      </c>
      <c r="B4">
        <v>2025</v>
      </c>
      <c r="C4" t="s">
        <v>50</v>
      </c>
      <c r="D4" t="s">
        <v>25</v>
      </c>
      <c r="E4" t="s">
        <v>51</v>
      </c>
      <c r="F4" t="s">
        <v>52</v>
      </c>
      <c r="G4" t="s">
        <v>53</v>
      </c>
      <c r="H4" t="s">
        <v>54</v>
      </c>
      <c r="I4" t="s">
        <v>42</v>
      </c>
      <c r="J4" t="s">
        <v>55</v>
      </c>
      <c r="K4" t="s">
        <v>56</v>
      </c>
      <c r="L4" t="s">
        <v>45</v>
      </c>
      <c r="M4" t="s">
        <v>57</v>
      </c>
      <c r="N4" t="s">
        <v>58</v>
      </c>
      <c r="O4" t="s">
        <v>59</v>
      </c>
    </row>
    <row r="5" spans="1:23" x14ac:dyDescent="0.35">
      <c r="A5" t="s">
        <v>60</v>
      </c>
      <c r="B5">
        <v>2025</v>
      </c>
      <c r="C5" t="s">
        <v>24</v>
      </c>
      <c r="D5" t="s">
        <v>61</v>
      </c>
      <c r="E5" t="s">
        <v>62</v>
      </c>
      <c r="F5" t="s">
        <v>63</v>
      </c>
      <c r="G5" t="s">
        <v>28</v>
      </c>
      <c r="H5" t="s">
        <v>64</v>
      </c>
      <c r="I5" t="s">
        <v>42</v>
      </c>
      <c r="J5" t="s">
        <v>65</v>
      </c>
      <c r="K5" t="s">
        <v>66</v>
      </c>
      <c r="L5" t="s">
        <v>45</v>
      </c>
      <c r="M5" t="s">
        <v>67</v>
      </c>
      <c r="N5" t="s">
        <v>68</v>
      </c>
      <c r="O5" t="s">
        <v>69</v>
      </c>
    </row>
    <row r="6" spans="1:23" x14ac:dyDescent="0.35">
      <c r="A6" t="s">
        <v>60</v>
      </c>
      <c r="B6">
        <v>2025</v>
      </c>
      <c r="C6" t="s">
        <v>24</v>
      </c>
      <c r="D6" t="s">
        <v>61</v>
      </c>
      <c r="E6" t="s">
        <v>62</v>
      </c>
      <c r="F6" t="s">
        <v>63</v>
      </c>
      <c r="G6" t="s">
        <v>28</v>
      </c>
      <c r="H6" t="s">
        <v>70</v>
      </c>
      <c r="I6" t="s">
        <v>30</v>
      </c>
      <c r="J6" t="s">
        <v>71</v>
      </c>
      <c r="K6" t="s">
        <v>72</v>
      </c>
      <c r="L6" t="s">
        <v>33</v>
      </c>
      <c r="M6" t="s">
        <v>67</v>
      </c>
      <c r="N6" t="s">
        <v>68</v>
      </c>
      <c r="O6" t="s">
        <v>69</v>
      </c>
    </row>
    <row r="7" spans="1:23" x14ac:dyDescent="0.35">
      <c r="A7" t="s">
        <v>73</v>
      </c>
      <c r="B7">
        <v>2025</v>
      </c>
      <c r="C7" t="s">
        <v>24</v>
      </c>
      <c r="D7" t="s">
        <v>61</v>
      </c>
      <c r="E7" t="s">
        <v>74</v>
      </c>
      <c r="F7" t="s">
        <v>75</v>
      </c>
      <c r="G7" t="s">
        <v>76</v>
      </c>
      <c r="H7" t="s">
        <v>77</v>
      </c>
      <c r="I7" t="s">
        <v>42</v>
      </c>
      <c r="J7" t="s">
        <v>78</v>
      </c>
      <c r="K7" t="s">
        <v>79</v>
      </c>
      <c r="L7" t="s">
        <v>45</v>
      </c>
      <c r="M7" t="s">
        <v>80</v>
      </c>
      <c r="N7" t="s">
        <v>35</v>
      </c>
      <c r="O7" t="s">
        <v>81</v>
      </c>
    </row>
    <row r="8" spans="1:23" x14ac:dyDescent="0.35">
      <c r="A8" t="s">
        <v>82</v>
      </c>
      <c r="B8">
        <v>2025</v>
      </c>
      <c r="C8" t="s">
        <v>24</v>
      </c>
      <c r="D8" t="s">
        <v>83</v>
      </c>
      <c r="E8" t="s">
        <v>84</v>
      </c>
      <c r="F8" t="s">
        <v>85</v>
      </c>
      <c r="G8" t="s">
        <v>28</v>
      </c>
      <c r="H8" t="s">
        <v>86</v>
      </c>
      <c r="I8" t="s">
        <v>42</v>
      </c>
      <c r="J8" t="s">
        <v>87</v>
      </c>
      <c r="K8" t="s">
        <v>88</v>
      </c>
      <c r="L8" t="s">
        <v>45</v>
      </c>
      <c r="M8" t="s">
        <v>72</v>
      </c>
      <c r="N8" t="s">
        <v>89</v>
      </c>
      <c r="O8" t="s">
        <v>90</v>
      </c>
    </row>
    <row r="9" spans="1:23" x14ac:dyDescent="0.35">
      <c r="A9" t="s">
        <v>91</v>
      </c>
      <c r="B9">
        <v>2025</v>
      </c>
      <c r="C9" t="s">
        <v>24</v>
      </c>
      <c r="D9" t="s">
        <v>25</v>
      </c>
      <c r="E9" t="s">
        <v>92</v>
      </c>
      <c r="F9" t="s">
        <v>93</v>
      </c>
      <c r="G9" t="s">
        <v>28</v>
      </c>
      <c r="H9" t="s">
        <v>94</v>
      </c>
      <c r="I9" t="s">
        <v>42</v>
      </c>
      <c r="J9" t="s">
        <v>43</v>
      </c>
      <c r="K9" t="s">
        <v>95</v>
      </c>
      <c r="L9" t="s">
        <v>45</v>
      </c>
      <c r="M9" t="s">
        <v>96</v>
      </c>
      <c r="N9" t="s">
        <v>41</v>
      </c>
      <c r="O9" t="s">
        <v>97</v>
      </c>
    </row>
    <row r="10" spans="1:23" x14ac:dyDescent="0.35">
      <c r="A10" t="s">
        <v>91</v>
      </c>
      <c r="B10">
        <v>2025</v>
      </c>
      <c r="C10" t="s">
        <v>24</v>
      </c>
      <c r="D10" t="s">
        <v>25</v>
      </c>
      <c r="E10" t="s">
        <v>98</v>
      </c>
      <c r="F10" t="s">
        <v>99</v>
      </c>
      <c r="G10" t="s">
        <v>100</v>
      </c>
      <c r="H10" t="s">
        <v>101</v>
      </c>
      <c r="I10" t="s">
        <v>42</v>
      </c>
      <c r="J10" t="s">
        <v>43</v>
      </c>
      <c r="K10" t="s">
        <v>102</v>
      </c>
      <c r="L10" t="s">
        <v>45</v>
      </c>
      <c r="M10" t="s">
        <v>72</v>
      </c>
      <c r="N10" t="s">
        <v>103</v>
      </c>
      <c r="O10" t="s">
        <v>104</v>
      </c>
    </row>
    <row r="11" spans="1:23" x14ac:dyDescent="0.35">
      <c r="A11" t="s">
        <v>105</v>
      </c>
      <c r="B11">
        <v>2025</v>
      </c>
      <c r="C11" t="s">
        <v>24</v>
      </c>
      <c r="D11" t="s">
        <v>106</v>
      </c>
      <c r="F11" t="s">
        <v>107</v>
      </c>
      <c r="G11" t="s">
        <v>40</v>
      </c>
      <c r="H11" t="s">
        <v>108</v>
      </c>
      <c r="I11" t="s">
        <v>42</v>
      </c>
      <c r="J11" t="s">
        <v>109</v>
      </c>
      <c r="K11" t="s">
        <v>110</v>
      </c>
      <c r="L11" t="s">
        <v>45</v>
      </c>
      <c r="M11" t="s">
        <v>111</v>
      </c>
      <c r="N11" t="s">
        <v>112</v>
      </c>
      <c r="O11" t="s">
        <v>113</v>
      </c>
    </row>
    <row r="12" spans="1:23" x14ac:dyDescent="0.35">
      <c r="A12" t="s">
        <v>114</v>
      </c>
      <c r="B12">
        <v>2025</v>
      </c>
      <c r="C12" t="s">
        <v>24</v>
      </c>
      <c r="D12" t="s">
        <v>115</v>
      </c>
      <c r="E12" t="s">
        <v>116</v>
      </c>
      <c r="F12" t="s">
        <v>117</v>
      </c>
      <c r="G12" t="s">
        <v>118</v>
      </c>
      <c r="H12" t="s">
        <v>119</v>
      </c>
      <c r="I12" t="s">
        <v>42</v>
      </c>
      <c r="J12" t="s">
        <v>120</v>
      </c>
      <c r="K12" t="s">
        <v>121</v>
      </c>
      <c r="L12" t="s">
        <v>45</v>
      </c>
      <c r="M12" t="s">
        <v>72</v>
      </c>
      <c r="N12" t="s">
        <v>122</v>
      </c>
      <c r="O12" t="s">
        <v>123</v>
      </c>
    </row>
    <row r="13" spans="1:23" x14ac:dyDescent="0.35">
      <c r="A13" t="s">
        <v>124</v>
      </c>
      <c r="B13">
        <v>2025</v>
      </c>
      <c r="C13" t="s">
        <v>24</v>
      </c>
      <c r="D13" t="s">
        <v>61</v>
      </c>
      <c r="E13" t="s">
        <v>125</v>
      </c>
      <c r="F13" t="s">
        <v>126</v>
      </c>
      <c r="G13" t="s">
        <v>127</v>
      </c>
      <c r="H13" t="s">
        <v>128</v>
      </c>
      <c r="I13" t="s">
        <v>42</v>
      </c>
      <c r="J13" t="s">
        <v>120</v>
      </c>
      <c r="K13" t="s">
        <v>129</v>
      </c>
      <c r="L13" t="s">
        <v>45</v>
      </c>
      <c r="M13" t="s">
        <v>130</v>
      </c>
      <c r="N13" t="s">
        <v>131</v>
      </c>
      <c r="O13" t="s">
        <v>132</v>
      </c>
    </row>
    <row r="14" spans="1:23" x14ac:dyDescent="0.35">
      <c r="A14" t="s">
        <v>133</v>
      </c>
      <c r="B14">
        <v>2025</v>
      </c>
      <c r="C14" t="s">
        <v>24</v>
      </c>
      <c r="D14" t="s">
        <v>61</v>
      </c>
      <c r="E14" t="s">
        <v>134</v>
      </c>
      <c r="F14" t="s">
        <v>135</v>
      </c>
      <c r="G14" t="s">
        <v>40</v>
      </c>
      <c r="H14" t="s">
        <v>136</v>
      </c>
      <c r="I14" t="s">
        <v>42</v>
      </c>
      <c r="J14" t="s">
        <v>137</v>
      </c>
      <c r="K14" t="s">
        <v>138</v>
      </c>
      <c r="L14" t="s">
        <v>45</v>
      </c>
      <c r="M14" t="s">
        <v>139</v>
      </c>
      <c r="N14" t="s">
        <v>140</v>
      </c>
      <c r="O14" t="s">
        <v>132</v>
      </c>
    </row>
    <row r="15" spans="1:23" x14ac:dyDescent="0.35">
      <c r="A15" t="s">
        <v>141</v>
      </c>
      <c r="B15">
        <v>2025</v>
      </c>
      <c r="C15" t="s">
        <v>24</v>
      </c>
      <c r="D15" t="s">
        <v>25</v>
      </c>
      <c r="E15" t="s">
        <v>142</v>
      </c>
      <c r="F15" t="s">
        <v>143</v>
      </c>
      <c r="G15" t="s">
        <v>28</v>
      </c>
      <c r="H15" t="s">
        <v>144</v>
      </c>
      <c r="I15" t="s">
        <v>42</v>
      </c>
      <c r="J15" t="s">
        <v>145</v>
      </c>
      <c r="K15" t="s">
        <v>146</v>
      </c>
      <c r="L15" t="s">
        <v>45</v>
      </c>
      <c r="M15" t="s">
        <v>147</v>
      </c>
      <c r="N15" t="s">
        <v>148</v>
      </c>
      <c r="O15" t="s">
        <v>149</v>
      </c>
    </row>
    <row r="16" spans="1:23" x14ac:dyDescent="0.35">
      <c r="A16" t="s">
        <v>150</v>
      </c>
      <c r="B16">
        <v>2025</v>
      </c>
      <c r="C16" t="s">
        <v>50</v>
      </c>
      <c r="D16" t="s">
        <v>151</v>
      </c>
      <c r="F16" t="s">
        <v>152</v>
      </c>
      <c r="G16" t="s">
        <v>153</v>
      </c>
      <c r="H16" t="s">
        <v>154</v>
      </c>
      <c r="I16" t="s">
        <v>42</v>
      </c>
      <c r="J16" t="s">
        <v>155</v>
      </c>
      <c r="K16" t="s">
        <v>156</v>
      </c>
      <c r="L16" t="s">
        <v>45</v>
      </c>
      <c r="M16" t="s">
        <v>72</v>
      </c>
      <c r="N16" t="s">
        <v>157</v>
      </c>
      <c r="O16" t="s">
        <v>149</v>
      </c>
    </row>
    <row r="17" spans="1:15" x14ac:dyDescent="0.35">
      <c r="A17" t="s">
        <v>158</v>
      </c>
      <c r="B17">
        <v>2025</v>
      </c>
      <c r="C17" t="s">
        <v>24</v>
      </c>
      <c r="D17" t="s">
        <v>61</v>
      </c>
      <c r="E17" t="s">
        <v>62</v>
      </c>
      <c r="F17" t="s">
        <v>159</v>
      </c>
      <c r="G17" t="s">
        <v>40</v>
      </c>
      <c r="H17" t="s">
        <v>160</v>
      </c>
      <c r="I17" t="s">
        <v>42</v>
      </c>
      <c r="J17" t="s">
        <v>161</v>
      </c>
      <c r="K17" t="s">
        <v>162</v>
      </c>
      <c r="L17" t="s">
        <v>33</v>
      </c>
      <c r="M17" t="s">
        <v>163</v>
      </c>
      <c r="N17" t="s">
        <v>35</v>
      </c>
      <c r="O17" t="s">
        <v>164</v>
      </c>
    </row>
    <row r="18" spans="1:15" x14ac:dyDescent="0.35">
      <c r="A18" t="s">
        <v>165</v>
      </c>
      <c r="B18">
        <v>2025</v>
      </c>
      <c r="C18" t="s">
        <v>24</v>
      </c>
      <c r="D18" t="s">
        <v>25</v>
      </c>
      <c r="E18" t="s">
        <v>166</v>
      </c>
      <c r="F18" t="s">
        <v>167</v>
      </c>
      <c r="G18" t="s">
        <v>168</v>
      </c>
      <c r="H18" t="s">
        <v>169</v>
      </c>
      <c r="I18" t="s">
        <v>42</v>
      </c>
      <c r="J18" t="s">
        <v>170</v>
      </c>
      <c r="K18" t="s">
        <v>171</v>
      </c>
      <c r="L18" t="s">
        <v>45</v>
      </c>
      <c r="M18" t="s">
        <v>172</v>
      </c>
      <c r="N18" t="s">
        <v>72</v>
      </c>
      <c r="O18" t="s">
        <v>173</v>
      </c>
    </row>
    <row r="19" spans="1:15" x14ac:dyDescent="0.35">
      <c r="A19" t="s">
        <v>174</v>
      </c>
      <c r="B19">
        <v>2025</v>
      </c>
      <c r="C19" t="s">
        <v>24</v>
      </c>
      <c r="D19" t="s">
        <v>25</v>
      </c>
      <c r="E19" t="s">
        <v>98</v>
      </c>
      <c r="F19" t="s">
        <v>175</v>
      </c>
      <c r="G19" t="s">
        <v>28</v>
      </c>
      <c r="H19" t="s">
        <v>176</v>
      </c>
      <c r="I19" t="s">
        <v>30</v>
      </c>
      <c r="J19" t="s">
        <v>170</v>
      </c>
      <c r="K19" t="s">
        <v>171</v>
      </c>
      <c r="L19" t="s">
        <v>45</v>
      </c>
      <c r="M19" t="s">
        <v>72</v>
      </c>
      <c r="N19" t="s">
        <v>72</v>
      </c>
      <c r="O19" t="s">
        <v>177</v>
      </c>
    </row>
    <row r="20" spans="1:15" x14ac:dyDescent="0.35">
      <c r="A20" t="s">
        <v>178</v>
      </c>
      <c r="B20">
        <v>2025</v>
      </c>
      <c r="C20" t="s">
        <v>24</v>
      </c>
      <c r="D20" t="s">
        <v>61</v>
      </c>
      <c r="E20" t="s">
        <v>62</v>
      </c>
      <c r="F20" t="s">
        <v>179</v>
      </c>
      <c r="G20" t="s">
        <v>40</v>
      </c>
      <c r="H20" t="s">
        <v>180</v>
      </c>
      <c r="I20" t="s">
        <v>42</v>
      </c>
      <c r="J20" t="s">
        <v>43</v>
      </c>
      <c r="K20" t="s">
        <v>181</v>
      </c>
      <c r="L20" t="s">
        <v>45</v>
      </c>
      <c r="M20" t="s">
        <v>182</v>
      </c>
      <c r="N20" t="s">
        <v>183</v>
      </c>
      <c r="O20" t="s">
        <v>184</v>
      </c>
    </row>
    <row r="21" spans="1:15" x14ac:dyDescent="0.35">
      <c r="A21" t="s">
        <v>185</v>
      </c>
      <c r="B21">
        <v>2025</v>
      </c>
      <c r="C21" t="s">
        <v>24</v>
      </c>
      <c r="D21" t="s">
        <v>186</v>
      </c>
      <c r="E21" t="s">
        <v>187</v>
      </c>
      <c r="F21" t="s">
        <v>188</v>
      </c>
      <c r="G21" t="s">
        <v>189</v>
      </c>
      <c r="H21" t="s">
        <v>72</v>
      </c>
      <c r="I21" t="s">
        <v>42</v>
      </c>
      <c r="J21" t="s">
        <v>190</v>
      </c>
      <c r="K21" t="s">
        <v>191</v>
      </c>
      <c r="L21" t="s">
        <v>45</v>
      </c>
      <c r="M21" t="s">
        <v>192</v>
      </c>
      <c r="N21" t="s">
        <v>193</v>
      </c>
      <c r="O21" t="s">
        <v>194</v>
      </c>
    </row>
    <row r="22" spans="1:15" x14ac:dyDescent="0.35">
      <c r="A22" t="s">
        <v>195</v>
      </c>
      <c r="B22">
        <v>2025</v>
      </c>
      <c r="C22" t="s">
        <v>50</v>
      </c>
      <c r="D22" t="s">
        <v>25</v>
      </c>
      <c r="E22" t="s">
        <v>166</v>
      </c>
      <c r="F22" t="s">
        <v>196</v>
      </c>
      <c r="G22" t="s">
        <v>100</v>
      </c>
      <c r="H22" t="s">
        <v>197</v>
      </c>
      <c r="I22" t="s">
        <v>42</v>
      </c>
      <c r="J22" t="s">
        <v>43</v>
      </c>
      <c r="K22" t="s">
        <v>198</v>
      </c>
      <c r="L22" t="s">
        <v>45</v>
      </c>
      <c r="M22" t="s">
        <v>199</v>
      </c>
      <c r="N22" t="s">
        <v>200</v>
      </c>
      <c r="O22" t="s">
        <v>201</v>
      </c>
    </row>
    <row r="23" spans="1:15" x14ac:dyDescent="0.35">
      <c r="A23" t="s">
        <v>202</v>
      </c>
      <c r="B23">
        <v>2025</v>
      </c>
      <c r="C23" t="s">
        <v>24</v>
      </c>
      <c r="D23" t="s">
        <v>61</v>
      </c>
      <c r="E23" t="s">
        <v>62</v>
      </c>
      <c r="F23" t="s">
        <v>203</v>
      </c>
      <c r="G23" t="s">
        <v>40</v>
      </c>
      <c r="H23" t="s">
        <v>204</v>
      </c>
      <c r="I23" t="s">
        <v>42</v>
      </c>
      <c r="J23" t="s">
        <v>205</v>
      </c>
      <c r="K23" t="s">
        <v>206</v>
      </c>
      <c r="L23" t="s">
        <v>45</v>
      </c>
      <c r="M23" t="s">
        <v>57</v>
      </c>
      <c r="N23" t="s">
        <v>207</v>
      </c>
      <c r="O23" t="s">
        <v>208</v>
      </c>
    </row>
    <row r="24" spans="1:15" x14ac:dyDescent="0.35">
      <c r="A24" t="s">
        <v>209</v>
      </c>
      <c r="B24">
        <v>2025</v>
      </c>
      <c r="C24" t="s">
        <v>24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30</v>
      </c>
      <c r="J24" t="s">
        <v>215</v>
      </c>
      <c r="K24" t="s">
        <v>216</v>
      </c>
      <c r="L24" t="s">
        <v>45</v>
      </c>
      <c r="M24" t="s">
        <v>72</v>
      </c>
      <c r="N24" t="s">
        <v>193</v>
      </c>
      <c r="O24" t="s">
        <v>217</v>
      </c>
    </row>
    <row r="25" spans="1:15" x14ac:dyDescent="0.35">
      <c r="A25" t="s">
        <v>218</v>
      </c>
      <c r="B25">
        <v>2025</v>
      </c>
      <c r="C25" t="s">
        <v>24</v>
      </c>
      <c r="D25" t="s">
        <v>61</v>
      </c>
      <c r="E25" t="s">
        <v>134</v>
      </c>
      <c r="F25" t="s">
        <v>219</v>
      </c>
      <c r="G25" t="s">
        <v>220</v>
      </c>
      <c r="H25" t="s">
        <v>221</v>
      </c>
      <c r="I25" t="s">
        <v>42</v>
      </c>
      <c r="J25" t="s">
        <v>222</v>
      </c>
      <c r="K25" t="s">
        <v>223</v>
      </c>
      <c r="L25" t="s">
        <v>45</v>
      </c>
      <c r="M25" t="s">
        <v>224</v>
      </c>
      <c r="N25" t="s">
        <v>225</v>
      </c>
      <c r="O25" t="s">
        <v>226</v>
      </c>
    </row>
    <row r="26" spans="1:15" x14ac:dyDescent="0.35">
      <c r="A26" t="s">
        <v>227</v>
      </c>
      <c r="B26">
        <v>2025</v>
      </c>
      <c r="C26" t="s">
        <v>24</v>
      </c>
      <c r="D26" t="s">
        <v>83</v>
      </c>
      <c r="E26" t="s">
        <v>228</v>
      </c>
      <c r="F26" t="s">
        <v>229</v>
      </c>
      <c r="G26" t="s">
        <v>28</v>
      </c>
      <c r="H26" t="s">
        <v>119</v>
      </c>
      <c r="I26" t="s">
        <v>42</v>
      </c>
      <c r="J26" t="s">
        <v>230</v>
      </c>
      <c r="K26" t="s">
        <v>231</v>
      </c>
      <c r="L26" t="s">
        <v>45</v>
      </c>
      <c r="M26" t="s">
        <v>72</v>
      </c>
      <c r="N26" t="s">
        <v>193</v>
      </c>
      <c r="O26" t="s">
        <v>232</v>
      </c>
    </row>
    <row r="27" spans="1:15" x14ac:dyDescent="0.35">
      <c r="A27" t="s">
        <v>233</v>
      </c>
      <c r="B27">
        <v>2025</v>
      </c>
      <c r="C27" t="s">
        <v>24</v>
      </c>
      <c r="D27" t="s">
        <v>234</v>
      </c>
      <c r="E27" t="s">
        <v>235</v>
      </c>
      <c r="F27" t="s">
        <v>236</v>
      </c>
      <c r="G27" t="s">
        <v>28</v>
      </c>
      <c r="H27" t="s">
        <v>237</v>
      </c>
      <c r="I27" t="s">
        <v>238</v>
      </c>
      <c r="J27" t="s">
        <v>239</v>
      </c>
      <c r="K27" t="s">
        <v>240</v>
      </c>
      <c r="L27" t="s">
        <v>45</v>
      </c>
      <c r="M27" t="s">
        <v>224</v>
      </c>
      <c r="N27" t="s">
        <v>193</v>
      </c>
      <c r="O27" t="s">
        <v>208</v>
      </c>
    </row>
    <row r="28" spans="1:15" x14ac:dyDescent="0.35">
      <c r="A28" t="s">
        <v>241</v>
      </c>
      <c r="B28">
        <v>2025</v>
      </c>
      <c r="C28" t="s">
        <v>24</v>
      </c>
      <c r="D28" t="s">
        <v>242</v>
      </c>
      <c r="E28" t="s">
        <v>243</v>
      </c>
      <c r="F28" t="s">
        <v>244</v>
      </c>
      <c r="G28" t="s">
        <v>245</v>
      </c>
      <c r="H28" t="s">
        <v>41</v>
      </c>
      <c r="I28" t="s">
        <v>42</v>
      </c>
      <c r="J28" t="s">
        <v>43</v>
      </c>
      <c r="K28" t="s">
        <v>246</v>
      </c>
      <c r="L28" t="s">
        <v>45</v>
      </c>
      <c r="M28" t="s">
        <v>247</v>
      </c>
      <c r="N28" t="s">
        <v>193</v>
      </c>
      <c r="O28" t="s">
        <v>132</v>
      </c>
    </row>
    <row r="29" spans="1:15" x14ac:dyDescent="0.35">
      <c r="A29" t="s">
        <v>248</v>
      </c>
      <c r="B29">
        <v>2025</v>
      </c>
      <c r="C29" t="s">
        <v>24</v>
      </c>
      <c r="D29" t="s">
        <v>25</v>
      </c>
      <c r="E29" t="s">
        <v>166</v>
      </c>
      <c r="F29" t="s">
        <v>249</v>
      </c>
      <c r="G29" t="s">
        <v>250</v>
      </c>
      <c r="H29" t="s">
        <v>251</v>
      </c>
      <c r="I29" t="s">
        <v>42</v>
      </c>
      <c r="J29" t="s">
        <v>252</v>
      </c>
      <c r="K29" t="s">
        <v>253</v>
      </c>
      <c r="L29" t="s">
        <v>45</v>
      </c>
      <c r="M29" t="s">
        <v>72</v>
      </c>
      <c r="N29" t="s">
        <v>254</v>
      </c>
      <c r="O29" t="s">
        <v>255</v>
      </c>
    </row>
    <row r="30" spans="1:15" x14ac:dyDescent="0.35">
      <c r="A30" t="s">
        <v>256</v>
      </c>
      <c r="B30">
        <v>2025</v>
      </c>
      <c r="C30" t="s">
        <v>24</v>
      </c>
      <c r="D30" t="s">
        <v>25</v>
      </c>
      <c r="E30" t="s">
        <v>166</v>
      </c>
      <c r="F30" t="s">
        <v>257</v>
      </c>
      <c r="G30" t="s">
        <v>40</v>
      </c>
      <c r="H30" t="s">
        <v>258</v>
      </c>
      <c r="I30" t="s">
        <v>42</v>
      </c>
      <c r="J30" t="s">
        <v>259</v>
      </c>
      <c r="K30" t="s">
        <v>260</v>
      </c>
      <c r="L30" t="s">
        <v>45</v>
      </c>
      <c r="M30" t="s">
        <v>261</v>
      </c>
      <c r="N30" t="s">
        <v>193</v>
      </c>
      <c r="O30" t="s">
        <v>262</v>
      </c>
    </row>
    <row r="31" spans="1:15" x14ac:dyDescent="0.35">
      <c r="A31" t="s">
        <v>263</v>
      </c>
      <c r="B31">
        <v>2025</v>
      </c>
      <c r="C31" t="s">
        <v>24</v>
      </c>
      <c r="D31" t="s">
        <v>186</v>
      </c>
      <c r="E31" t="s">
        <v>264</v>
      </c>
      <c r="F31" t="s">
        <v>265</v>
      </c>
      <c r="G31" t="s">
        <v>189</v>
      </c>
      <c r="H31" t="s">
        <v>266</v>
      </c>
      <c r="I31" t="s">
        <v>42</v>
      </c>
      <c r="J31" t="s">
        <v>267</v>
      </c>
      <c r="K31" t="s">
        <v>268</v>
      </c>
      <c r="L31" t="s">
        <v>45</v>
      </c>
      <c r="M31" t="s">
        <v>72</v>
      </c>
      <c r="N31" t="s">
        <v>269</v>
      </c>
      <c r="O31" t="s">
        <v>270</v>
      </c>
    </row>
    <row r="32" spans="1:15" x14ac:dyDescent="0.35">
      <c r="A32" t="s">
        <v>271</v>
      </c>
      <c r="B32">
        <v>2025</v>
      </c>
      <c r="C32" t="s">
        <v>50</v>
      </c>
      <c r="D32" t="s">
        <v>25</v>
      </c>
      <c r="E32" t="s">
        <v>272</v>
      </c>
      <c r="F32" t="s">
        <v>273</v>
      </c>
      <c r="G32" t="s">
        <v>100</v>
      </c>
      <c r="H32" t="s">
        <v>274</v>
      </c>
      <c r="I32" t="s">
        <v>42</v>
      </c>
      <c r="J32" t="s">
        <v>275</v>
      </c>
      <c r="K32" t="s">
        <v>276</v>
      </c>
      <c r="L32" t="s">
        <v>45</v>
      </c>
      <c r="M32" t="s">
        <v>72</v>
      </c>
      <c r="N32" t="s">
        <v>41</v>
      </c>
      <c r="O32" t="s">
        <v>277</v>
      </c>
    </row>
    <row r="33" spans="1:15" x14ac:dyDescent="0.35">
      <c r="A33" t="s">
        <v>278</v>
      </c>
      <c r="B33">
        <v>2025</v>
      </c>
      <c r="C33" t="s">
        <v>24</v>
      </c>
      <c r="D33" t="s">
        <v>25</v>
      </c>
      <c r="E33" t="s">
        <v>166</v>
      </c>
      <c r="F33" t="s">
        <v>257</v>
      </c>
      <c r="G33" t="s">
        <v>40</v>
      </c>
      <c r="H33" t="s">
        <v>274</v>
      </c>
      <c r="I33" t="s">
        <v>42</v>
      </c>
      <c r="J33" t="s">
        <v>87</v>
      </c>
      <c r="K33" t="s">
        <v>268</v>
      </c>
      <c r="L33" t="s">
        <v>45</v>
      </c>
      <c r="M33" t="s">
        <v>279</v>
      </c>
      <c r="N33" t="s">
        <v>280</v>
      </c>
      <c r="O33" t="s">
        <v>281</v>
      </c>
    </row>
    <row r="34" spans="1:15" x14ac:dyDescent="0.35">
      <c r="A34" t="s">
        <v>282</v>
      </c>
      <c r="B34">
        <v>2025</v>
      </c>
      <c r="C34" t="s">
        <v>24</v>
      </c>
      <c r="D34" t="s">
        <v>283</v>
      </c>
      <c r="E34" t="s">
        <v>284</v>
      </c>
      <c r="F34" t="s">
        <v>285</v>
      </c>
      <c r="G34" t="s">
        <v>100</v>
      </c>
      <c r="H34" t="s">
        <v>286</v>
      </c>
      <c r="I34" t="s">
        <v>42</v>
      </c>
      <c r="J34" t="s">
        <v>287</v>
      </c>
      <c r="K34" t="s">
        <v>288</v>
      </c>
      <c r="L34" t="s">
        <v>33</v>
      </c>
      <c r="M34" t="s">
        <v>247</v>
      </c>
      <c r="N34" t="s">
        <v>289</v>
      </c>
      <c r="O34" t="s">
        <v>290</v>
      </c>
    </row>
    <row r="35" spans="1:15" x14ac:dyDescent="0.35">
      <c r="A35" t="s">
        <v>291</v>
      </c>
      <c r="B35">
        <v>2025</v>
      </c>
      <c r="C35" t="s">
        <v>24</v>
      </c>
      <c r="D35" t="s">
        <v>61</v>
      </c>
      <c r="E35" t="s">
        <v>62</v>
      </c>
      <c r="F35" t="s">
        <v>292</v>
      </c>
      <c r="G35" t="s">
        <v>28</v>
      </c>
      <c r="H35" t="s">
        <v>293</v>
      </c>
      <c r="I35" t="s">
        <v>42</v>
      </c>
      <c r="J35" t="s">
        <v>294</v>
      </c>
      <c r="K35" t="s">
        <v>295</v>
      </c>
      <c r="L35" t="s">
        <v>45</v>
      </c>
      <c r="M35" t="s">
        <v>296</v>
      </c>
      <c r="N35" t="s">
        <v>297</v>
      </c>
      <c r="O35" t="s">
        <v>298</v>
      </c>
    </row>
    <row r="36" spans="1:15" x14ac:dyDescent="0.35">
      <c r="A36" t="s">
        <v>299</v>
      </c>
      <c r="B36">
        <v>2025</v>
      </c>
      <c r="C36" t="s">
        <v>24</v>
      </c>
      <c r="D36" t="s">
        <v>25</v>
      </c>
      <c r="E36" t="s">
        <v>300</v>
      </c>
      <c r="F36" t="s">
        <v>301</v>
      </c>
      <c r="G36" t="s">
        <v>28</v>
      </c>
      <c r="H36" t="s">
        <v>302</v>
      </c>
      <c r="I36" t="s">
        <v>30</v>
      </c>
      <c r="J36" t="s">
        <v>303</v>
      </c>
      <c r="K36" t="s">
        <v>304</v>
      </c>
      <c r="L36" t="s">
        <v>45</v>
      </c>
      <c r="M36" t="s">
        <v>305</v>
      </c>
      <c r="N36" t="s">
        <v>306</v>
      </c>
      <c r="O36" t="s">
        <v>307</v>
      </c>
    </row>
    <row r="37" spans="1:15" x14ac:dyDescent="0.35">
      <c r="A37" t="s">
        <v>308</v>
      </c>
      <c r="B37">
        <v>2025</v>
      </c>
      <c r="C37" t="s">
        <v>24</v>
      </c>
      <c r="D37" t="s">
        <v>25</v>
      </c>
      <c r="E37" t="s">
        <v>309</v>
      </c>
      <c r="F37" t="s">
        <v>310</v>
      </c>
      <c r="G37" t="s">
        <v>28</v>
      </c>
      <c r="H37" t="s">
        <v>311</v>
      </c>
      <c r="I37" t="s">
        <v>30</v>
      </c>
      <c r="J37" t="s">
        <v>43</v>
      </c>
      <c r="K37" t="s">
        <v>312</v>
      </c>
      <c r="L37" t="s">
        <v>45</v>
      </c>
      <c r="M37" t="s">
        <v>313</v>
      </c>
      <c r="N37" t="s">
        <v>314</v>
      </c>
      <c r="O37" t="s">
        <v>315</v>
      </c>
    </row>
    <row r="38" spans="1:15" x14ac:dyDescent="0.35">
      <c r="A38" t="s">
        <v>316</v>
      </c>
      <c r="B38">
        <v>2025</v>
      </c>
      <c r="C38" t="s">
        <v>24</v>
      </c>
      <c r="D38" t="s">
        <v>25</v>
      </c>
      <c r="E38" t="s">
        <v>309</v>
      </c>
      <c r="F38" t="s">
        <v>317</v>
      </c>
      <c r="G38" t="s">
        <v>28</v>
      </c>
      <c r="H38" t="s">
        <v>318</v>
      </c>
      <c r="I38" t="s">
        <v>30</v>
      </c>
      <c r="J38" t="s">
        <v>319</v>
      </c>
      <c r="K38" t="s">
        <v>312</v>
      </c>
      <c r="L38" t="s">
        <v>45</v>
      </c>
      <c r="M38" t="s">
        <v>34</v>
      </c>
      <c r="N38" t="s">
        <v>72</v>
      </c>
      <c r="O38" t="s">
        <v>320</v>
      </c>
    </row>
    <row r="39" spans="1:15" x14ac:dyDescent="0.35">
      <c r="A39" s="2">
        <v>45819</v>
      </c>
      <c r="B39">
        <v>2025</v>
      </c>
      <c r="C39" t="s">
        <v>24</v>
      </c>
      <c r="D39" t="s">
        <v>25</v>
      </c>
      <c r="E39" t="s">
        <v>166</v>
      </c>
      <c r="F39" t="s">
        <v>321</v>
      </c>
      <c r="G39" t="s">
        <v>168</v>
      </c>
      <c r="H39" t="s">
        <v>322</v>
      </c>
      <c r="I39" t="s">
        <v>30</v>
      </c>
      <c r="J39" t="s">
        <v>205</v>
      </c>
      <c r="K39" t="s">
        <v>323</v>
      </c>
      <c r="L39" t="s">
        <v>45</v>
      </c>
      <c r="M39" t="s">
        <v>324</v>
      </c>
      <c r="N39" t="s">
        <v>325</v>
      </c>
      <c r="O39" t="s">
        <v>326</v>
      </c>
    </row>
    <row r="40" spans="1:15" x14ac:dyDescent="0.35">
      <c r="A40" t="s">
        <v>327</v>
      </c>
      <c r="B40">
        <v>2025</v>
      </c>
      <c r="C40" t="s">
        <v>24</v>
      </c>
      <c r="D40" t="s">
        <v>25</v>
      </c>
      <c r="E40" t="s">
        <v>26</v>
      </c>
      <c r="F40" t="s">
        <v>328</v>
      </c>
      <c r="G40" t="s">
        <v>40</v>
      </c>
      <c r="H40" t="s">
        <v>329</v>
      </c>
      <c r="I40" t="s">
        <v>42</v>
      </c>
      <c r="J40" t="s">
        <v>330</v>
      </c>
      <c r="K40" t="s">
        <v>331</v>
      </c>
      <c r="L40" t="s">
        <v>45</v>
      </c>
      <c r="M40" t="s">
        <v>332</v>
      </c>
      <c r="N40" t="s">
        <v>333</v>
      </c>
      <c r="O40" t="s">
        <v>334</v>
      </c>
    </row>
    <row r="41" spans="1:15" x14ac:dyDescent="0.35">
      <c r="A41" s="2">
        <v>45806</v>
      </c>
      <c r="B41">
        <v>2025</v>
      </c>
      <c r="C41" t="s">
        <v>24</v>
      </c>
      <c r="D41" t="s">
        <v>25</v>
      </c>
      <c r="E41" t="s">
        <v>335</v>
      </c>
      <c r="F41" t="s">
        <v>336</v>
      </c>
      <c r="G41" t="s">
        <v>28</v>
      </c>
      <c r="H41" t="s">
        <v>337</v>
      </c>
      <c r="I41" t="s">
        <v>42</v>
      </c>
      <c r="J41" t="s">
        <v>65</v>
      </c>
      <c r="K41" t="s">
        <v>338</v>
      </c>
      <c r="L41" t="s">
        <v>45</v>
      </c>
      <c r="M41" t="s">
        <v>339</v>
      </c>
      <c r="N41" t="s">
        <v>72</v>
      </c>
      <c r="O41" t="s">
        <v>340</v>
      </c>
    </row>
    <row r="42" spans="1:15" x14ac:dyDescent="0.35">
      <c r="A42" s="2">
        <v>45803</v>
      </c>
      <c r="B42">
        <v>2025</v>
      </c>
      <c r="C42" t="s">
        <v>24</v>
      </c>
      <c r="D42" t="s">
        <v>341</v>
      </c>
      <c r="E42" t="s">
        <v>342</v>
      </c>
      <c r="F42" t="s">
        <v>343</v>
      </c>
      <c r="G42" t="s">
        <v>28</v>
      </c>
      <c r="H42" t="s">
        <v>344</v>
      </c>
      <c r="I42" t="s">
        <v>42</v>
      </c>
      <c r="J42" t="s">
        <v>120</v>
      </c>
      <c r="K42" t="s">
        <v>345</v>
      </c>
      <c r="L42" t="s">
        <v>33</v>
      </c>
      <c r="M42" t="s">
        <v>346</v>
      </c>
      <c r="N42" t="s">
        <v>72</v>
      </c>
      <c r="O42" t="s">
        <v>132</v>
      </c>
    </row>
    <row r="43" spans="1:15" x14ac:dyDescent="0.35">
      <c r="A43" s="2">
        <v>45792</v>
      </c>
      <c r="B43">
        <v>2025</v>
      </c>
      <c r="C43" t="s">
        <v>24</v>
      </c>
      <c r="D43" t="s">
        <v>61</v>
      </c>
      <c r="E43" t="s">
        <v>134</v>
      </c>
      <c r="F43" t="s">
        <v>347</v>
      </c>
      <c r="G43" t="s">
        <v>28</v>
      </c>
      <c r="H43" t="s">
        <v>348</v>
      </c>
      <c r="I43" t="s">
        <v>42</v>
      </c>
      <c r="J43" t="s">
        <v>267</v>
      </c>
      <c r="K43" t="s">
        <v>349</v>
      </c>
      <c r="L43" t="s">
        <v>45</v>
      </c>
      <c r="M43" t="s">
        <v>350</v>
      </c>
      <c r="N43" t="s">
        <v>72</v>
      </c>
      <c r="O43" t="s">
        <v>351</v>
      </c>
    </row>
    <row r="44" spans="1:15" x14ac:dyDescent="0.35">
      <c r="A44" s="2">
        <v>45785</v>
      </c>
      <c r="B44">
        <v>2025</v>
      </c>
      <c r="C44" t="s">
        <v>24</v>
      </c>
      <c r="D44" t="s">
        <v>352</v>
      </c>
      <c r="E44" t="s">
        <v>353</v>
      </c>
      <c r="F44" t="s">
        <v>354</v>
      </c>
      <c r="G44" t="s">
        <v>355</v>
      </c>
      <c r="H44" t="s">
        <v>356</v>
      </c>
      <c r="I44" t="s">
        <v>30</v>
      </c>
      <c r="J44" t="s">
        <v>65</v>
      </c>
      <c r="K44" t="s">
        <v>357</v>
      </c>
      <c r="L44" t="s">
        <v>45</v>
      </c>
      <c r="M44" t="s">
        <v>72</v>
      </c>
      <c r="N44" t="s">
        <v>358</v>
      </c>
      <c r="O44" t="s">
        <v>359</v>
      </c>
    </row>
    <row r="45" spans="1:15" x14ac:dyDescent="0.35">
      <c r="A45" s="2">
        <v>45768</v>
      </c>
      <c r="B45">
        <v>2025</v>
      </c>
      <c r="C45" t="s">
        <v>24</v>
      </c>
      <c r="D45" t="s">
        <v>360</v>
      </c>
      <c r="E45" t="s">
        <v>361</v>
      </c>
      <c r="F45" t="s">
        <v>362</v>
      </c>
      <c r="G45" t="s">
        <v>250</v>
      </c>
      <c r="H45" t="s">
        <v>363</v>
      </c>
      <c r="I45" t="s">
        <v>42</v>
      </c>
      <c r="J45" t="s">
        <v>364</v>
      </c>
      <c r="K45" t="s">
        <v>365</v>
      </c>
      <c r="L45" t="s">
        <v>33</v>
      </c>
      <c r="M45" t="s">
        <v>279</v>
      </c>
      <c r="N45" t="s">
        <v>366</v>
      </c>
      <c r="O45" t="s">
        <v>367</v>
      </c>
    </row>
    <row r="46" spans="1:15" x14ac:dyDescent="0.35">
      <c r="A46" s="2">
        <v>45767</v>
      </c>
      <c r="B46">
        <v>2025</v>
      </c>
      <c r="C46" t="s">
        <v>368</v>
      </c>
      <c r="D46" t="s">
        <v>369</v>
      </c>
      <c r="E46" t="s">
        <v>370</v>
      </c>
      <c r="F46" t="s">
        <v>371</v>
      </c>
      <c r="G46" t="s">
        <v>372</v>
      </c>
      <c r="H46" t="s">
        <v>373</v>
      </c>
      <c r="I46" t="s">
        <v>42</v>
      </c>
      <c r="J46" t="s">
        <v>303</v>
      </c>
      <c r="K46" t="s">
        <v>374</v>
      </c>
      <c r="L46" t="s">
        <v>33</v>
      </c>
      <c r="M46" t="s">
        <v>72</v>
      </c>
      <c r="N46" t="s">
        <v>375</v>
      </c>
      <c r="O46" t="s">
        <v>376</v>
      </c>
    </row>
    <row r="47" spans="1:15" x14ac:dyDescent="0.35">
      <c r="A47" s="2">
        <v>45766</v>
      </c>
      <c r="B47">
        <v>2025</v>
      </c>
      <c r="C47" t="s">
        <v>377</v>
      </c>
      <c r="D47" t="s">
        <v>378</v>
      </c>
      <c r="E47" t="s">
        <v>379</v>
      </c>
      <c r="F47" t="s">
        <v>380</v>
      </c>
      <c r="G47" t="s">
        <v>381</v>
      </c>
      <c r="H47" t="s">
        <v>274</v>
      </c>
      <c r="I47" t="s">
        <v>42</v>
      </c>
      <c r="J47" t="s">
        <v>382</v>
      </c>
      <c r="K47" t="s">
        <v>383</v>
      </c>
      <c r="L47" t="s">
        <v>45</v>
      </c>
      <c r="M47" t="s">
        <v>72</v>
      </c>
      <c r="N47" t="s">
        <v>72</v>
      </c>
      <c r="O47" t="s">
        <v>384</v>
      </c>
    </row>
    <row r="48" spans="1:15" x14ac:dyDescent="0.35">
      <c r="A48" s="2">
        <v>45759</v>
      </c>
      <c r="B48">
        <v>2025</v>
      </c>
      <c r="C48" t="s">
        <v>24</v>
      </c>
      <c r="D48" t="s">
        <v>25</v>
      </c>
      <c r="E48" t="s">
        <v>166</v>
      </c>
      <c r="F48" t="s">
        <v>385</v>
      </c>
      <c r="G48" t="s">
        <v>386</v>
      </c>
      <c r="H48" t="s">
        <v>274</v>
      </c>
      <c r="I48" t="s">
        <v>42</v>
      </c>
      <c r="J48" t="s">
        <v>43</v>
      </c>
      <c r="K48" t="s">
        <v>387</v>
      </c>
      <c r="L48" t="s">
        <v>45</v>
      </c>
      <c r="M48" t="s">
        <v>279</v>
      </c>
      <c r="N48" t="s">
        <v>72</v>
      </c>
      <c r="O48" t="s">
        <v>388</v>
      </c>
    </row>
    <row r="49" spans="1:15" x14ac:dyDescent="0.35">
      <c r="A49" s="2">
        <v>45742</v>
      </c>
      <c r="B49">
        <v>2025</v>
      </c>
      <c r="C49" t="s">
        <v>24</v>
      </c>
      <c r="D49" t="s">
        <v>61</v>
      </c>
      <c r="E49" t="s">
        <v>389</v>
      </c>
      <c r="F49" t="s">
        <v>390</v>
      </c>
      <c r="G49" t="s">
        <v>28</v>
      </c>
      <c r="H49" t="s">
        <v>274</v>
      </c>
      <c r="I49" t="s">
        <v>42</v>
      </c>
      <c r="J49" t="s">
        <v>391</v>
      </c>
      <c r="K49" t="s">
        <v>392</v>
      </c>
      <c r="L49" t="s">
        <v>45</v>
      </c>
      <c r="M49" t="s">
        <v>393</v>
      </c>
      <c r="N49" t="s">
        <v>394</v>
      </c>
      <c r="O49" t="s">
        <v>395</v>
      </c>
    </row>
    <row r="50" spans="1:15" x14ac:dyDescent="0.35">
      <c r="A50" s="2">
        <v>45726</v>
      </c>
      <c r="B50">
        <v>2025</v>
      </c>
      <c r="C50" t="s">
        <v>24</v>
      </c>
      <c r="D50" t="s">
        <v>61</v>
      </c>
      <c r="E50" t="s">
        <v>389</v>
      </c>
      <c r="F50" t="s">
        <v>396</v>
      </c>
      <c r="G50" t="s">
        <v>40</v>
      </c>
      <c r="H50" t="s">
        <v>397</v>
      </c>
      <c r="I50" t="s">
        <v>42</v>
      </c>
      <c r="J50" t="s">
        <v>287</v>
      </c>
      <c r="K50" t="s">
        <v>398</v>
      </c>
      <c r="L50" t="s">
        <v>33</v>
      </c>
      <c r="M50" t="s">
        <v>399</v>
      </c>
      <c r="N50" t="s">
        <v>35</v>
      </c>
      <c r="O50" t="s">
        <v>400</v>
      </c>
    </row>
    <row r="51" spans="1:15" x14ac:dyDescent="0.35">
      <c r="A51" s="2">
        <v>45723</v>
      </c>
      <c r="B51">
        <v>2025</v>
      </c>
      <c r="C51" t="s">
        <v>24</v>
      </c>
      <c r="D51" t="s">
        <v>61</v>
      </c>
      <c r="E51" t="s">
        <v>62</v>
      </c>
      <c r="F51" t="s">
        <v>401</v>
      </c>
      <c r="G51" t="s">
        <v>28</v>
      </c>
      <c r="H51" t="s">
        <v>402</v>
      </c>
      <c r="I51" t="s">
        <v>238</v>
      </c>
      <c r="J51" t="s">
        <v>403</v>
      </c>
      <c r="K51" t="s">
        <v>404</v>
      </c>
      <c r="L51" t="s">
        <v>45</v>
      </c>
      <c r="M51" t="s">
        <v>405</v>
      </c>
      <c r="N51" t="s">
        <v>325</v>
      </c>
      <c r="O51" t="s">
        <v>400</v>
      </c>
    </row>
    <row r="52" spans="1:15" x14ac:dyDescent="0.35">
      <c r="A52" s="2">
        <v>45715</v>
      </c>
      <c r="B52">
        <v>2025</v>
      </c>
      <c r="C52" t="s">
        <v>24</v>
      </c>
      <c r="D52" t="s">
        <v>61</v>
      </c>
      <c r="E52" t="s">
        <v>406</v>
      </c>
      <c r="F52" t="s">
        <v>407</v>
      </c>
      <c r="G52" t="s">
        <v>28</v>
      </c>
      <c r="H52" t="s">
        <v>408</v>
      </c>
      <c r="I52" t="s">
        <v>42</v>
      </c>
      <c r="J52" t="s">
        <v>409</v>
      </c>
      <c r="K52" t="s">
        <v>410</v>
      </c>
      <c r="L52" t="s">
        <v>45</v>
      </c>
      <c r="M52" t="s">
        <v>41</v>
      </c>
      <c r="N52" t="s">
        <v>72</v>
      </c>
      <c r="O52" t="s">
        <v>132</v>
      </c>
    </row>
    <row r="53" spans="1:15" x14ac:dyDescent="0.35">
      <c r="A53" t="s">
        <v>411</v>
      </c>
      <c r="B53">
        <v>2025</v>
      </c>
      <c r="C53" t="s">
        <v>368</v>
      </c>
      <c r="D53" t="s">
        <v>412</v>
      </c>
      <c r="E53" t="s">
        <v>413</v>
      </c>
      <c r="F53" t="s">
        <v>414</v>
      </c>
      <c r="G53" t="s">
        <v>415</v>
      </c>
      <c r="H53" t="s">
        <v>416</v>
      </c>
      <c r="I53" t="s">
        <v>42</v>
      </c>
      <c r="J53" t="s">
        <v>417</v>
      </c>
      <c r="K53" t="s">
        <v>418</v>
      </c>
      <c r="L53" t="s">
        <v>33</v>
      </c>
      <c r="M53" t="s">
        <v>192</v>
      </c>
      <c r="N53" t="s">
        <v>419</v>
      </c>
      <c r="O53" t="s">
        <v>420</v>
      </c>
    </row>
    <row r="54" spans="1:15" x14ac:dyDescent="0.35">
      <c r="A54" s="2">
        <v>45710</v>
      </c>
      <c r="B54">
        <v>2025</v>
      </c>
      <c r="C54" t="s">
        <v>24</v>
      </c>
      <c r="D54" t="s">
        <v>61</v>
      </c>
      <c r="E54" t="s">
        <v>74</v>
      </c>
      <c r="F54" t="s">
        <v>421</v>
      </c>
      <c r="G54" t="s">
        <v>422</v>
      </c>
      <c r="H54" t="s">
        <v>423</v>
      </c>
      <c r="I54" t="s">
        <v>30</v>
      </c>
      <c r="J54">
        <v>35</v>
      </c>
      <c r="K54" t="s">
        <v>424</v>
      </c>
      <c r="L54" t="s">
        <v>45</v>
      </c>
      <c r="M54" t="s">
        <v>425</v>
      </c>
      <c r="N54" t="s">
        <v>72</v>
      </c>
      <c r="O54" t="s">
        <v>208</v>
      </c>
    </row>
    <row r="55" spans="1:15" x14ac:dyDescent="0.35">
      <c r="A55" s="2">
        <v>45710</v>
      </c>
      <c r="B55">
        <v>2025</v>
      </c>
      <c r="C55" t="s">
        <v>368</v>
      </c>
      <c r="D55" t="s">
        <v>61</v>
      </c>
      <c r="E55" t="s">
        <v>62</v>
      </c>
      <c r="F55" t="s">
        <v>426</v>
      </c>
      <c r="G55" t="s">
        <v>427</v>
      </c>
      <c r="H55" t="s">
        <v>428</v>
      </c>
      <c r="I55" t="s">
        <v>42</v>
      </c>
      <c r="J55">
        <v>58</v>
      </c>
      <c r="K55" t="s">
        <v>429</v>
      </c>
      <c r="L55" t="s">
        <v>33</v>
      </c>
      <c r="M55" t="s">
        <v>192</v>
      </c>
      <c r="N55" t="s">
        <v>430</v>
      </c>
      <c r="O55" t="s">
        <v>431</v>
      </c>
    </row>
    <row r="56" spans="1:15" x14ac:dyDescent="0.35">
      <c r="A56" s="2">
        <v>45710</v>
      </c>
      <c r="B56">
        <v>2025</v>
      </c>
      <c r="C56" t="s">
        <v>24</v>
      </c>
      <c r="D56" t="s">
        <v>61</v>
      </c>
      <c r="E56" t="s">
        <v>125</v>
      </c>
      <c r="F56" t="s">
        <v>432</v>
      </c>
      <c r="G56" t="s">
        <v>168</v>
      </c>
      <c r="H56" t="s">
        <v>274</v>
      </c>
      <c r="I56" t="s">
        <v>42</v>
      </c>
      <c r="J56">
        <v>29</v>
      </c>
      <c r="K56" t="s">
        <v>433</v>
      </c>
      <c r="L56" t="s">
        <v>45</v>
      </c>
      <c r="M56" t="s">
        <v>434</v>
      </c>
      <c r="N56" t="s">
        <v>72</v>
      </c>
      <c r="O56" t="s">
        <v>208</v>
      </c>
    </row>
    <row r="57" spans="1:15" x14ac:dyDescent="0.35">
      <c r="A57" s="2">
        <v>45698</v>
      </c>
      <c r="B57">
        <v>2025</v>
      </c>
      <c r="C57" t="s">
        <v>24</v>
      </c>
      <c r="D57" t="s">
        <v>186</v>
      </c>
      <c r="F57" t="s">
        <v>435</v>
      </c>
      <c r="G57" t="s">
        <v>28</v>
      </c>
      <c r="H57" t="s">
        <v>436</v>
      </c>
      <c r="I57" t="s">
        <v>30</v>
      </c>
      <c r="J57">
        <v>24</v>
      </c>
      <c r="K57" t="s">
        <v>437</v>
      </c>
      <c r="L57" t="s">
        <v>45</v>
      </c>
      <c r="M57" t="s">
        <v>438</v>
      </c>
      <c r="N57" t="s">
        <v>439</v>
      </c>
      <c r="O57" t="s">
        <v>440</v>
      </c>
    </row>
    <row r="58" spans="1:15" x14ac:dyDescent="0.35">
      <c r="A58" s="2">
        <v>45698</v>
      </c>
      <c r="B58">
        <v>2025</v>
      </c>
      <c r="C58" t="s">
        <v>24</v>
      </c>
      <c r="D58" t="s">
        <v>186</v>
      </c>
      <c r="F58" t="s">
        <v>435</v>
      </c>
      <c r="G58" t="s">
        <v>28</v>
      </c>
      <c r="H58" t="s">
        <v>441</v>
      </c>
      <c r="I58" t="s">
        <v>30</v>
      </c>
      <c r="J58">
        <v>20</v>
      </c>
      <c r="K58" t="s">
        <v>442</v>
      </c>
      <c r="L58" t="s">
        <v>45</v>
      </c>
      <c r="M58" t="s">
        <v>438</v>
      </c>
      <c r="N58" t="s">
        <v>439</v>
      </c>
      <c r="O58" t="s">
        <v>440</v>
      </c>
    </row>
    <row r="59" spans="1:15" x14ac:dyDescent="0.35">
      <c r="A59" s="2">
        <v>45695</v>
      </c>
      <c r="B59">
        <v>2025</v>
      </c>
      <c r="C59" t="s">
        <v>24</v>
      </c>
      <c r="D59" t="s">
        <v>443</v>
      </c>
      <c r="E59" t="s">
        <v>444</v>
      </c>
      <c r="F59" t="s">
        <v>445</v>
      </c>
      <c r="G59" t="s">
        <v>28</v>
      </c>
      <c r="H59" t="s">
        <v>446</v>
      </c>
      <c r="I59" t="s">
        <v>30</v>
      </c>
      <c r="J59">
        <v>55</v>
      </c>
      <c r="K59" t="s">
        <v>447</v>
      </c>
      <c r="L59" t="s">
        <v>45</v>
      </c>
      <c r="M59" t="s">
        <v>41</v>
      </c>
      <c r="N59" t="s">
        <v>448</v>
      </c>
      <c r="O59" t="s">
        <v>449</v>
      </c>
    </row>
    <row r="60" spans="1:15" x14ac:dyDescent="0.35">
      <c r="A60" s="2">
        <v>45691</v>
      </c>
      <c r="B60">
        <v>2025</v>
      </c>
      <c r="C60" t="s">
        <v>24</v>
      </c>
      <c r="D60" t="s">
        <v>61</v>
      </c>
      <c r="E60" t="s">
        <v>125</v>
      </c>
      <c r="F60" t="s">
        <v>450</v>
      </c>
      <c r="G60" t="s">
        <v>28</v>
      </c>
      <c r="H60" t="s">
        <v>451</v>
      </c>
      <c r="I60" t="s">
        <v>30</v>
      </c>
      <c r="J60">
        <v>17</v>
      </c>
      <c r="K60" t="s">
        <v>452</v>
      </c>
      <c r="L60" t="s">
        <v>33</v>
      </c>
      <c r="M60" t="s">
        <v>453</v>
      </c>
      <c r="N60" t="s">
        <v>325</v>
      </c>
      <c r="O60" t="s">
        <v>454</v>
      </c>
    </row>
    <row r="61" spans="1:15" x14ac:dyDescent="0.35">
      <c r="A61" s="2">
        <v>45680</v>
      </c>
      <c r="B61">
        <v>2025</v>
      </c>
      <c r="C61" t="s">
        <v>24</v>
      </c>
      <c r="D61" t="s">
        <v>61</v>
      </c>
      <c r="E61" t="s">
        <v>74</v>
      </c>
      <c r="F61" t="s">
        <v>455</v>
      </c>
      <c r="G61" t="s">
        <v>456</v>
      </c>
      <c r="H61" t="s">
        <v>457</v>
      </c>
      <c r="I61" t="s">
        <v>42</v>
      </c>
      <c r="J61">
        <v>12</v>
      </c>
      <c r="K61" t="s">
        <v>458</v>
      </c>
      <c r="L61" t="s">
        <v>45</v>
      </c>
      <c r="M61" t="s">
        <v>459</v>
      </c>
      <c r="N61" t="s">
        <v>72</v>
      </c>
      <c r="O61" t="s">
        <v>208</v>
      </c>
    </row>
    <row r="62" spans="1:15" x14ac:dyDescent="0.35">
      <c r="A62" s="2">
        <v>45679</v>
      </c>
      <c r="B62">
        <v>2025</v>
      </c>
      <c r="C62" t="s">
        <v>24</v>
      </c>
      <c r="D62" t="s">
        <v>61</v>
      </c>
      <c r="E62" t="s">
        <v>74</v>
      </c>
      <c r="F62" t="s">
        <v>460</v>
      </c>
      <c r="G62" t="s">
        <v>40</v>
      </c>
      <c r="H62" t="s">
        <v>461</v>
      </c>
      <c r="I62" t="s">
        <v>42</v>
      </c>
      <c r="J62">
        <v>37</v>
      </c>
      <c r="K62" t="s">
        <v>462</v>
      </c>
      <c r="L62" t="s">
        <v>45</v>
      </c>
      <c r="M62" t="s">
        <v>463</v>
      </c>
      <c r="N62" t="s">
        <v>464</v>
      </c>
      <c r="O62" t="s">
        <v>208</v>
      </c>
    </row>
    <row r="63" spans="1:15" x14ac:dyDescent="0.35">
      <c r="A63" s="2">
        <v>45660</v>
      </c>
      <c r="B63">
        <v>2025</v>
      </c>
      <c r="C63" t="s">
        <v>24</v>
      </c>
      <c r="D63" t="s">
        <v>465</v>
      </c>
      <c r="E63" t="s">
        <v>466</v>
      </c>
      <c r="F63" t="s">
        <v>467</v>
      </c>
      <c r="G63" t="s">
        <v>189</v>
      </c>
      <c r="H63" t="s">
        <v>468</v>
      </c>
      <c r="I63" t="s">
        <v>42</v>
      </c>
      <c r="J63">
        <v>36</v>
      </c>
      <c r="K63" t="s">
        <v>469</v>
      </c>
      <c r="L63" t="s">
        <v>33</v>
      </c>
      <c r="M63" t="s">
        <v>139</v>
      </c>
      <c r="N63" t="s">
        <v>470</v>
      </c>
      <c r="O63" t="s">
        <v>132</v>
      </c>
    </row>
    <row r="64" spans="1:15" x14ac:dyDescent="0.35">
      <c r="A64" s="2">
        <v>45668</v>
      </c>
      <c r="B64">
        <v>2025</v>
      </c>
      <c r="C64" t="s">
        <v>50</v>
      </c>
      <c r="D64" t="s">
        <v>25</v>
      </c>
      <c r="E64" t="s">
        <v>92</v>
      </c>
      <c r="F64" t="s">
        <v>471</v>
      </c>
      <c r="G64" t="s">
        <v>250</v>
      </c>
      <c r="H64" t="s">
        <v>472</v>
      </c>
      <c r="I64" t="s">
        <v>42</v>
      </c>
      <c r="J64">
        <v>23</v>
      </c>
      <c r="K64" t="s">
        <v>473</v>
      </c>
      <c r="L64" t="s">
        <v>45</v>
      </c>
      <c r="M64" t="s">
        <v>405</v>
      </c>
      <c r="N64" t="s">
        <v>72</v>
      </c>
      <c r="O64" t="s">
        <v>132</v>
      </c>
    </row>
    <row r="65" spans="1:15" x14ac:dyDescent="0.35">
      <c r="A65" s="2">
        <v>45659</v>
      </c>
      <c r="B65">
        <v>2025</v>
      </c>
      <c r="C65" t="s">
        <v>24</v>
      </c>
      <c r="D65" t="s">
        <v>474</v>
      </c>
      <c r="E65" t="s">
        <v>475</v>
      </c>
      <c r="F65" t="s">
        <v>476</v>
      </c>
      <c r="G65" t="s">
        <v>189</v>
      </c>
      <c r="H65" t="s">
        <v>477</v>
      </c>
      <c r="I65" t="s">
        <v>42</v>
      </c>
      <c r="J65">
        <v>40</v>
      </c>
      <c r="K65" t="s">
        <v>478</v>
      </c>
      <c r="L65" t="s">
        <v>33</v>
      </c>
      <c r="M65" t="s">
        <v>479</v>
      </c>
      <c r="N65" t="s">
        <v>480</v>
      </c>
      <c r="O65" t="s">
        <v>481</v>
      </c>
    </row>
    <row r="66" spans="1:15" x14ac:dyDescent="0.35">
      <c r="A66" s="2">
        <v>45659</v>
      </c>
      <c r="B66">
        <v>2025</v>
      </c>
      <c r="C66" t="s">
        <v>24</v>
      </c>
      <c r="D66" t="s">
        <v>61</v>
      </c>
      <c r="E66" t="s">
        <v>134</v>
      </c>
      <c r="F66" t="s">
        <v>482</v>
      </c>
      <c r="G66" t="s">
        <v>40</v>
      </c>
      <c r="H66" t="s">
        <v>483</v>
      </c>
      <c r="I66" t="s">
        <v>42</v>
      </c>
      <c r="J66">
        <v>28</v>
      </c>
      <c r="K66" t="s">
        <v>429</v>
      </c>
      <c r="L66" t="s">
        <v>33</v>
      </c>
      <c r="M66" t="s">
        <v>484</v>
      </c>
      <c r="N66" t="s">
        <v>485</v>
      </c>
      <c r="O66" t="s">
        <v>486</v>
      </c>
    </row>
    <row r="67" spans="1:15" x14ac:dyDescent="0.35">
      <c r="A67" s="2">
        <v>45477</v>
      </c>
      <c r="B67">
        <v>2025</v>
      </c>
      <c r="C67" t="s">
        <v>24</v>
      </c>
      <c r="D67" t="s">
        <v>25</v>
      </c>
      <c r="E67" t="s">
        <v>98</v>
      </c>
      <c r="F67" t="s">
        <v>487</v>
      </c>
      <c r="G67" t="s">
        <v>28</v>
      </c>
      <c r="H67" t="s">
        <v>488</v>
      </c>
      <c r="I67" t="s">
        <v>30</v>
      </c>
      <c r="J67">
        <v>18</v>
      </c>
      <c r="K67" t="s">
        <v>489</v>
      </c>
      <c r="L67" t="s">
        <v>45</v>
      </c>
      <c r="M67" t="s">
        <v>43</v>
      </c>
      <c r="N67" t="s">
        <v>490</v>
      </c>
      <c r="O67" t="s">
        <v>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pivot-table</vt:lpstr>
      <vt:lpstr>subset-2025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Katarína Řiháčková</cp:lastModifiedBy>
  <dcterms:created xsi:type="dcterms:W3CDTF">2026-01-10T20:41:18Z</dcterms:created>
  <dcterms:modified xsi:type="dcterms:W3CDTF">2026-01-10T20:52:39Z</dcterms:modified>
</cp:coreProperties>
</file>